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sa33795\Desktop\update 25-02-2017\"/>
    </mc:Choice>
  </mc:AlternateContent>
  <bookViews>
    <workbookView xWindow="0" yWindow="0" windowWidth="20496" windowHeight="8112"/>
  </bookViews>
  <sheets>
    <sheet name="Dashboard m" sheetId="11" r:id="rId1"/>
    <sheet name="Marimekko C-P" sheetId="12" r:id="rId2"/>
    <sheet name="Filter C-P" sheetId="15" r:id="rId3"/>
    <sheet name="Colors" sheetId="13" r:id="rId4"/>
  </sheets>
  <functionGroups builtInGroupCount="18"/>
  <definedNames>
    <definedName name="_xlnm._FilterDatabase" localSheetId="3" hidden="1">Colors!#REF!</definedName>
    <definedName name="_xlnm._FilterDatabase" localSheetId="2" hidden="1">'Filter C-P'!$C$4:$Q$53</definedName>
    <definedName name="_xlnm._FilterDatabase" localSheetId="1" hidden="1">'Marimekko C-P'!#REF!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8" i="15" l="1"/>
  <c r="L7" i="13"/>
  <c r="L8" i="13"/>
  <c r="L6" i="13"/>
  <c r="L5" i="13"/>
  <c r="G19" i="13" l="1"/>
  <c r="H19" i="13" s="1"/>
  <c r="I19" i="13" s="1"/>
  <c r="G18" i="13"/>
  <c r="H18" i="13" s="1"/>
  <c r="G17" i="13"/>
  <c r="H17" i="13" s="1"/>
  <c r="G16" i="13"/>
  <c r="H16" i="13" s="1"/>
  <c r="G15" i="13"/>
  <c r="H15" i="13" s="1"/>
  <c r="G14" i="13"/>
  <c r="H14" i="13" s="1"/>
  <c r="I14" i="13" s="1"/>
  <c r="G13" i="13"/>
  <c r="H13" i="13" s="1"/>
  <c r="I13" i="13" s="1"/>
  <c r="G12" i="13"/>
  <c r="H12" i="13" s="1"/>
  <c r="G11" i="13"/>
  <c r="H11" i="13" s="1"/>
  <c r="I11" i="13" s="1"/>
  <c r="G10" i="13"/>
  <c r="H10" i="13" s="1"/>
  <c r="I10" i="13" s="1"/>
  <c r="G9" i="13"/>
  <c r="G8" i="13"/>
  <c r="H8" i="13" s="1"/>
  <c r="G7" i="13"/>
  <c r="H7" i="13" s="1"/>
  <c r="I7" i="13" s="1"/>
  <c r="G6" i="13"/>
  <c r="H6" i="13" s="1"/>
  <c r="I6" i="13" s="1"/>
  <c r="G5" i="13"/>
  <c r="H5" i="13" s="1"/>
  <c r="I5" i="13" s="1"/>
  <c r="C6" i="13"/>
  <c r="E6" i="13" s="1"/>
  <c r="C7" i="13"/>
  <c r="E7" i="13" s="1"/>
  <c r="C8" i="13"/>
  <c r="E8" i="13" s="1"/>
  <c r="C9" i="13"/>
  <c r="E9" i="13" s="1"/>
  <c r="C10" i="13"/>
  <c r="E10" i="13" s="1"/>
  <c r="C11" i="13"/>
  <c r="E11" i="13" s="1"/>
  <c r="C12" i="13"/>
  <c r="E12" i="13" s="1"/>
  <c r="C13" i="13"/>
  <c r="E13" i="13" s="1"/>
  <c r="C14" i="13"/>
  <c r="E14" i="13" s="1"/>
  <c r="C15" i="13"/>
  <c r="E15" i="13" s="1"/>
  <c r="C16" i="13"/>
  <c r="E16" i="13" s="1"/>
  <c r="C17" i="13"/>
  <c r="E17" i="13" s="1"/>
  <c r="C18" i="13"/>
  <c r="E18" i="13" s="1"/>
  <c r="C19" i="13"/>
  <c r="E19" i="13" s="1"/>
  <c r="C20" i="13"/>
  <c r="E20" i="13" s="1"/>
  <c r="C21" i="13"/>
  <c r="E21" i="13" s="1"/>
  <c r="C22" i="13"/>
  <c r="E22" i="13" s="1"/>
  <c r="C23" i="13"/>
  <c r="E23" i="13" s="1"/>
  <c r="C24" i="13"/>
  <c r="E24" i="13" s="1"/>
  <c r="C25" i="13"/>
  <c r="E25" i="13" s="1"/>
  <c r="C26" i="13"/>
  <c r="E26" i="13" s="1"/>
  <c r="C27" i="13"/>
  <c r="E27" i="13" s="1"/>
  <c r="C28" i="13"/>
  <c r="E28" i="13" s="1"/>
  <c r="C29" i="13"/>
  <c r="E29" i="13" s="1"/>
  <c r="C30" i="13"/>
  <c r="E30" i="13" s="1"/>
  <c r="C31" i="13"/>
  <c r="E31" i="13" s="1"/>
  <c r="C32" i="13"/>
  <c r="E32" i="13" s="1"/>
  <c r="C33" i="13"/>
  <c r="E33" i="13" s="1"/>
  <c r="C34" i="13"/>
  <c r="E34" i="13" s="1"/>
  <c r="C35" i="13"/>
  <c r="E35" i="13" s="1"/>
  <c r="C36" i="13"/>
  <c r="E36" i="13" s="1"/>
  <c r="C37" i="13"/>
  <c r="E37" i="13" s="1"/>
  <c r="C38" i="13"/>
  <c r="E38" i="13" s="1"/>
  <c r="C39" i="13"/>
  <c r="E39" i="13" s="1"/>
  <c r="C40" i="13"/>
  <c r="E40" i="13" s="1"/>
  <c r="C41" i="13"/>
  <c r="E41" i="13" s="1"/>
  <c r="C42" i="13"/>
  <c r="E42" i="13" s="1"/>
  <c r="C43" i="13"/>
  <c r="E43" i="13" s="1"/>
  <c r="C44" i="13"/>
  <c r="E44" i="13" s="1"/>
  <c r="C45" i="13"/>
  <c r="E45" i="13" s="1"/>
  <c r="C46" i="13"/>
  <c r="E46" i="13" s="1"/>
  <c r="C47" i="13"/>
  <c r="E47" i="13" s="1"/>
  <c r="C48" i="13"/>
  <c r="E48" i="13" s="1"/>
  <c r="C49" i="13"/>
  <c r="E49" i="13" s="1"/>
  <c r="C50" i="13"/>
  <c r="E50" i="13" s="1"/>
  <c r="C51" i="13"/>
  <c r="E51" i="13" s="1"/>
  <c r="C52" i="13"/>
  <c r="E52" i="13" s="1"/>
  <c r="C53" i="13"/>
  <c r="E53" i="13" s="1"/>
  <c r="C54" i="13"/>
  <c r="E54" i="13" s="1"/>
  <c r="C55" i="13"/>
  <c r="E55" i="13" s="1"/>
  <c r="C56" i="13"/>
  <c r="E56" i="13" s="1"/>
  <c r="C57" i="13"/>
  <c r="E57" i="13" s="1"/>
  <c r="C58" i="13"/>
  <c r="E58" i="13" s="1"/>
  <c r="C59" i="13"/>
  <c r="E59" i="13" s="1"/>
  <c r="C60" i="13"/>
  <c r="E60" i="13" s="1"/>
  <c r="C61" i="13"/>
  <c r="E61" i="13" s="1"/>
  <c r="C62" i="13"/>
  <c r="E62" i="13" s="1"/>
  <c r="C63" i="13"/>
  <c r="E63" i="13" s="1"/>
  <c r="C64" i="13"/>
  <c r="E64" i="13" s="1"/>
  <c r="C65" i="13"/>
  <c r="E65" i="13" s="1"/>
  <c r="C66" i="13"/>
  <c r="E66" i="13" s="1"/>
  <c r="C67" i="13"/>
  <c r="E67" i="13" s="1"/>
  <c r="C68" i="13"/>
  <c r="E68" i="13" s="1"/>
  <c r="C69" i="13"/>
  <c r="E69" i="13" s="1"/>
  <c r="C70" i="13"/>
  <c r="E70" i="13" s="1"/>
  <c r="C71" i="13"/>
  <c r="E71" i="13" s="1"/>
  <c r="C72" i="13"/>
  <c r="E72" i="13" s="1"/>
  <c r="C73" i="13"/>
  <c r="E73" i="13" s="1"/>
  <c r="C74" i="13"/>
  <c r="E74" i="13" s="1"/>
  <c r="C75" i="13"/>
  <c r="E75" i="13" s="1"/>
  <c r="C76" i="13"/>
  <c r="E76" i="13" s="1"/>
  <c r="C77" i="13"/>
  <c r="E77" i="13" s="1"/>
  <c r="C78" i="13"/>
  <c r="E78" i="13" s="1"/>
  <c r="C79" i="13"/>
  <c r="E79" i="13" s="1"/>
  <c r="C80" i="13"/>
  <c r="E80" i="13" s="1"/>
  <c r="C81" i="13"/>
  <c r="E81" i="13" s="1"/>
  <c r="C82" i="13"/>
  <c r="E82" i="13" s="1"/>
  <c r="C83" i="13"/>
  <c r="E83" i="13" s="1"/>
  <c r="C84" i="13"/>
  <c r="E84" i="13" s="1"/>
  <c r="C85" i="13"/>
  <c r="E85" i="13" s="1"/>
  <c r="C86" i="13"/>
  <c r="E86" i="13" s="1"/>
  <c r="C87" i="13"/>
  <c r="E87" i="13" s="1"/>
  <c r="C88" i="13"/>
  <c r="E88" i="13" s="1"/>
  <c r="C89" i="13"/>
  <c r="E89" i="13" s="1"/>
  <c r="C90" i="13"/>
  <c r="E90" i="13" s="1"/>
  <c r="C91" i="13"/>
  <c r="E91" i="13" s="1"/>
  <c r="C92" i="13"/>
  <c r="E92" i="13" s="1"/>
  <c r="C93" i="13"/>
  <c r="E93" i="13" s="1"/>
  <c r="C94" i="13"/>
  <c r="E94" i="13" s="1"/>
  <c r="C95" i="13"/>
  <c r="E95" i="13" s="1"/>
  <c r="C96" i="13"/>
  <c r="E96" i="13" s="1"/>
  <c r="C97" i="13"/>
  <c r="E97" i="13" s="1"/>
  <c r="C98" i="13"/>
  <c r="E98" i="13" s="1"/>
  <c r="C99" i="13"/>
  <c r="E99" i="13" s="1"/>
  <c r="C100" i="13"/>
  <c r="E100" i="13" s="1"/>
  <c r="C101" i="13"/>
  <c r="E101" i="13" s="1"/>
  <c r="C102" i="13"/>
  <c r="E102" i="13" s="1"/>
  <c r="C103" i="13"/>
  <c r="E103" i="13" s="1"/>
  <c r="C5" i="13"/>
  <c r="E5" i="13" s="1"/>
  <c r="D93" i="13"/>
  <c r="D11" i="13"/>
  <c r="D90" i="13"/>
  <c r="D47" i="13"/>
  <c r="D86" i="13"/>
  <c r="D89" i="13"/>
  <c r="D65" i="13"/>
  <c r="D64" i="13"/>
  <c r="D96" i="13"/>
  <c r="D67" i="13"/>
  <c r="D42" i="13"/>
  <c r="D102" i="13"/>
  <c r="D40" i="13"/>
  <c r="D17" i="13"/>
  <c r="D50" i="13"/>
  <c r="D29" i="13"/>
  <c r="D23" i="13"/>
  <c r="D53" i="13"/>
  <c r="D51" i="13"/>
  <c r="D44" i="13"/>
  <c r="D103" i="13"/>
  <c r="D33" i="13"/>
  <c r="D35" i="13"/>
  <c r="D8" i="13"/>
  <c r="D100" i="13"/>
  <c r="D101" i="13"/>
  <c r="D97" i="13"/>
  <c r="D12" i="13"/>
  <c r="D82" i="13"/>
  <c r="D15" i="13"/>
  <c r="D92" i="13"/>
  <c r="D57" i="13"/>
  <c r="D27" i="13"/>
  <c r="D95" i="13"/>
  <c r="D30" i="13"/>
  <c r="D36" i="13"/>
  <c r="D16" i="13"/>
  <c r="D37" i="13"/>
  <c r="D76" i="13"/>
  <c r="D19" i="13"/>
  <c r="D68" i="13"/>
  <c r="D46" i="13"/>
  <c r="D41" i="13"/>
  <c r="D78" i="13"/>
  <c r="D81" i="13"/>
  <c r="D72" i="13"/>
  <c r="D34" i="13"/>
  <c r="D54" i="13"/>
  <c r="D56" i="13"/>
  <c r="D61" i="13"/>
  <c r="D60" i="13"/>
  <c r="D52" i="13"/>
  <c r="D24" i="13"/>
  <c r="D58" i="13"/>
  <c r="D9" i="13"/>
  <c r="D14" i="13"/>
  <c r="D5" i="13"/>
  <c r="D38" i="13"/>
  <c r="D75" i="13"/>
  <c r="D87" i="13"/>
  <c r="D21" i="13"/>
  <c r="D6" i="13"/>
  <c r="D79" i="13"/>
  <c r="D85" i="13"/>
  <c r="D28" i="13"/>
  <c r="D49" i="13"/>
  <c r="D69" i="13"/>
  <c r="D80" i="13"/>
  <c r="D62" i="13"/>
  <c r="D31" i="13"/>
  <c r="D74" i="13"/>
  <c r="D22" i="13"/>
  <c r="D13" i="13"/>
  <c r="D94" i="13"/>
  <c r="D32" i="13"/>
  <c r="D18" i="13"/>
  <c r="D20" i="13"/>
  <c r="D43" i="13"/>
  <c r="D83" i="13"/>
  <c r="D48" i="13"/>
  <c r="D99" i="13"/>
  <c r="D45" i="13"/>
  <c r="D66" i="13"/>
  <c r="D88" i="13"/>
  <c r="D59" i="13"/>
  <c r="D77" i="13"/>
  <c r="D73" i="13"/>
  <c r="D84" i="13"/>
  <c r="D70" i="13"/>
  <c r="D55" i="13"/>
  <c r="D39" i="13"/>
  <c r="D7" i="13"/>
  <c r="D98" i="13"/>
  <c r="D26" i="13"/>
  <c r="D91" i="13"/>
  <c r="D25" i="13"/>
  <c r="D71" i="13"/>
  <c r="D63" i="13"/>
  <c r="D10" i="13"/>
  <c r="S26" i="15" l="1"/>
  <c r="S37" i="15"/>
  <c r="S52" i="15"/>
  <c r="S95" i="15"/>
  <c r="S49" i="15"/>
  <c r="S20" i="15"/>
  <c r="S101" i="15"/>
  <c r="S51" i="15"/>
  <c r="S91" i="15"/>
  <c r="S19" i="15"/>
  <c r="S69" i="15"/>
  <c r="S5" i="15"/>
  <c r="C105" i="15"/>
  <c r="S24" i="15"/>
  <c r="K105" i="15"/>
  <c r="S13" i="15"/>
  <c r="S16" i="15"/>
  <c r="S57" i="15"/>
  <c r="S71" i="15"/>
  <c r="S89" i="15"/>
  <c r="S74" i="15"/>
  <c r="S64" i="15"/>
  <c r="P105" i="15"/>
  <c r="S28" i="15"/>
  <c r="S68" i="15"/>
  <c r="S27" i="15"/>
  <c r="S75" i="15"/>
  <c r="S54" i="15"/>
  <c r="S34" i="15"/>
  <c r="F105" i="15"/>
  <c r="S90" i="15"/>
  <c r="S14" i="15"/>
  <c r="S93" i="15"/>
  <c r="S100" i="15"/>
  <c r="S86" i="15"/>
  <c r="S10" i="15"/>
  <c r="I105" i="15"/>
  <c r="O105" i="15"/>
  <c r="S9" i="15"/>
  <c r="S72" i="15"/>
  <c r="S77" i="15"/>
  <c r="S22" i="15"/>
  <c r="S88" i="15"/>
  <c r="S41" i="15"/>
  <c r="S25" i="15"/>
  <c r="S59" i="15"/>
  <c r="S50" i="15"/>
  <c r="S61" i="15"/>
  <c r="S44" i="15"/>
  <c r="S96" i="15"/>
  <c r="S66" i="15"/>
  <c r="S35" i="15"/>
  <c r="S56" i="15"/>
  <c r="S82" i="15"/>
  <c r="S85" i="15"/>
  <c r="S70" i="15"/>
  <c r="J105" i="15"/>
  <c r="S87" i="15"/>
  <c r="S11" i="15"/>
  <c r="S7" i="15"/>
  <c r="S29" i="15"/>
  <c r="S84" i="15"/>
  <c r="S80" i="15"/>
  <c r="S63" i="15"/>
  <c r="S38" i="15"/>
  <c r="S60" i="15"/>
  <c r="S43" i="15"/>
  <c r="S98" i="15"/>
  <c r="S76" i="15"/>
  <c r="S102" i="15"/>
  <c r="S17" i="15"/>
  <c r="E105" i="15"/>
  <c r="S58" i="15"/>
  <c r="S67" i="15"/>
  <c r="S15" i="15"/>
  <c r="N105" i="15"/>
  <c r="S62" i="15"/>
  <c r="S65" i="15"/>
  <c r="S73" i="15"/>
  <c r="S92" i="15"/>
  <c r="S39" i="15"/>
  <c r="S32" i="15"/>
  <c r="S94" i="15"/>
  <c r="S55" i="15"/>
  <c r="S48" i="15"/>
  <c r="S99" i="15"/>
  <c r="S21" i="15"/>
  <c r="S18" i="15"/>
  <c r="S83" i="15"/>
  <c r="S81" i="15"/>
  <c r="S47" i="15"/>
  <c r="S6" i="15"/>
  <c r="S30" i="15"/>
  <c r="S36" i="15"/>
  <c r="S12" i="15"/>
  <c r="S78" i="15"/>
  <c r="S23" i="15"/>
  <c r="S40" i="15"/>
  <c r="S45" i="15"/>
  <c r="S31" i="15"/>
  <c r="S33" i="15"/>
  <c r="M105" i="15"/>
  <c r="S42" i="15"/>
  <c r="S53" i="15"/>
  <c r="S46" i="15"/>
  <c r="S97" i="15"/>
  <c r="S79" i="15"/>
  <c r="H105" i="15"/>
  <c r="Q105" i="15"/>
  <c r="S103" i="15"/>
  <c r="D105" i="15"/>
  <c r="L105" i="15"/>
  <c r="G105" i="15"/>
  <c r="S104" i="15" l="1"/>
  <c r="B2" i="12" s="1"/>
</calcChain>
</file>

<file path=xl/comments1.xml><?xml version="1.0" encoding="utf-8"?>
<comments xmlns="http://schemas.openxmlformats.org/spreadsheetml/2006/main">
  <authors>
    <author>sesa33795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Market Share threshold</t>
        </r>
      </text>
    </comment>
    <comment ref="B1" authorId="0" shapeId="0">
      <text>
        <r>
          <rPr>
            <b/>
            <sz val="9"/>
            <color indexed="81"/>
            <rFont val="Tahoma"/>
            <charset val="1"/>
          </rPr>
          <t>Currency</t>
        </r>
      </text>
    </comment>
    <comment ref="C1" authorId="0" shapeId="0">
      <text>
        <r>
          <rPr>
            <b/>
            <sz val="9"/>
            <color indexed="81"/>
            <rFont val="Tahoma"/>
            <charset val="1"/>
          </rPr>
          <t>display unit</t>
        </r>
      </text>
    </comment>
    <comment ref="D1" authorId="0" shapeId="0">
      <text>
        <r>
          <rPr>
            <b/>
            <sz val="9"/>
            <color indexed="81"/>
            <rFont val="Tahoma"/>
            <charset val="1"/>
          </rPr>
          <t>internal unit</t>
        </r>
      </text>
    </comment>
    <comment ref="E1" authorId="0" shapeId="0">
      <text>
        <r>
          <rPr>
            <b/>
            <sz val="9"/>
            <color indexed="81"/>
            <rFont val="Tahoma"/>
            <charset val="1"/>
          </rPr>
          <t>x scale (from excel)</t>
        </r>
      </text>
    </comment>
    <comment ref="F1" authorId="0" shapeId="0">
      <text>
        <r>
          <rPr>
            <b/>
            <sz val="9"/>
            <color indexed="81"/>
            <rFont val="Tahoma"/>
            <charset val="1"/>
          </rPr>
          <t>y scale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 xml:space="preserve">x rows offset (after header column) </t>
        </r>
      </text>
    </comment>
    <comment ref="H1" authorId="0" shapeId="0">
      <text>
        <r>
          <rPr>
            <b/>
            <sz val="9"/>
            <color indexed="81"/>
            <rFont val="Tahoma"/>
            <charset val="1"/>
          </rPr>
          <t>slide width cm</t>
        </r>
      </text>
    </comment>
    <comment ref="I1" authorId="0" shapeId="0">
      <text>
        <r>
          <rPr>
            <b/>
            <sz val="9"/>
            <color indexed="81"/>
            <rFont val="Tahoma"/>
            <charset val="1"/>
          </rPr>
          <t>slide height cm</t>
        </r>
      </text>
    </comment>
    <comment ref="J1" authorId="0" shapeId="0">
      <text>
        <r>
          <rPr>
            <b/>
            <sz val="9"/>
            <color indexed="81"/>
            <rFont val="Tahoma"/>
            <charset val="1"/>
          </rPr>
          <t>name of the file to output json if empty no json output</t>
        </r>
      </text>
    </comment>
  </commentList>
</comments>
</file>

<file path=xl/sharedStrings.xml><?xml version="1.0" encoding="utf-8"?>
<sst xmlns="http://schemas.openxmlformats.org/spreadsheetml/2006/main" count="337" uniqueCount="168">
  <si>
    <t>ABB</t>
  </si>
  <si>
    <t>Advantech</t>
  </si>
  <si>
    <t>Altus</t>
  </si>
  <si>
    <t>Ametek</t>
  </si>
  <si>
    <t>Azbil</t>
  </si>
  <si>
    <t>B&amp;R</t>
  </si>
  <si>
    <t>Balluff</t>
  </si>
  <si>
    <t>Banner</t>
  </si>
  <si>
    <t>Baumer</t>
  </si>
  <si>
    <t>Beckhoff</t>
  </si>
  <si>
    <t>Beijer Electronics</t>
  </si>
  <si>
    <t>Bosch Rexroth</t>
  </si>
  <si>
    <t>CCI</t>
  </si>
  <si>
    <t>Chint Electrics</t>
  </si>
  <si>
    <t>Cognex</t>
  </si>
  <si>
    <t>Comeca</t>
  </si>
  <si>
    <t>Contec</t>
  </si>
  <si>
    <t>Contrinex</t>
  </si>
  <si>
    <t>Danaher Industrial</t>
  </si>
  <si>
    <t>Danfoss</t>
  </si>
  <si>
    <t>Delta Electronics</t>
  </si>
  <si>
    <t>DKK-TOA Corporation</t>
  </si>
  <si>
    <t>Eaton</t>
  </si>
  <si>
    <t>Emerson Electric</t>
  </si>
  <si>
    <t>Emerson Process Management</t>
  </si>
  <si>
    <t>Endress+Hauser</t>
  </si>
  <si>
    <t>Euchner</t>
  </si>
  <si>
    <t>EVOC Group</t>
  </si>
  <si>
    <t>Fagor Automation</t>
  </si>
  <si>
    <t>FANUC</t>
  </si>
  <si>
    <t>Festo</t>
  </si>
  <si>
    <t>Flowserve Flow Control Division</t>
  </si>
  <si>
    <t>Fuji Electric</t>
  </si>
  <si>
    <t>GE</t>
  </si>
  <si>
    <t>GSK CNC EQUIPMENT</t>
  </si>
  <si>
    <t>Haas</t>
  </si>
  <si>
    <t>Halma</t>
  </si>
  <si>
    <t>Harting</t>
  </si>
  <si>
    <t>Heidenhain</t>
  </si>
  <si>
    <t>HIMA</t>
  </si>
  <si>
    <t>Hitachi</t>
  </si>
  <si>
    <t>Hokuyo</t>
  </si>
  <si>
    <t>Honeywell</t>
  </si>
  <si>
    <t>Horiba Analytical</t>
  </si>
  <si>
    <t>Hyosung Power and Industrial S</t>
  </si>
  <si>
    <t>Idec</t>
  </si>
  <si>
    <t>IFM Electronics</t>
  </si>
  <si>
    <t>Keyence</t>
  </si>
  <si>
    <t>Kontron</t>
  </si>
  <si>
    <t>Krohne</t>
  </si>
  <si>
    <t>Lenze</t>
  </si>
  <si>
    <t>Leuze</t>
  </si>
  <si>
    <t>Lti Drives</t>
  </si>
  <si>
    <t>Metso Automation</t>
  </si>
  <si>
    <t>Mettler-Toledo</t>
  </si>
  <si>
    <t>Mitsubishi Electric</t>
  </si>
  <si>
    <t>Moog</t>
  </si>
  <si>
    <t>Moore Industries</t>
  </si>
  <si>
    <t>M-System</t>
  </si>
  <si>
    <t>National Instruments</t>
  </si>
  <si>
    <t>NEC</t>
  </si>
  <si>
    <t>Nihon Koso</t>
  </si>
  <si>
    <t>Num</t>
  </si>
  <si>
    <t>Okuma</t>
  </si>
  <si>
    <t>Omron</t>
  </si>
  <si>
    <t>Optex</t>
  </si>
  <si>
    <t>Oriental Motor</t>
  </si>
  <si>
    <t>Panasonic</t>
  </si>
  <si>
    <t>Parker Industrial</t>
  </si>
  <si>
    <t>Pentair</t>
  </si>
  <si>
    <t>Pepperl+Fuchs</t>
  </si>
  <si>
    <t>Phoenix Contact</t>
  </si>
  <si>
    <t>Pilz</t>
  </si>
  <si>
    <t>Powell Industries</t>
  </si>
  <si>
    <t>PR Electronics</t>
  </si>
  <si>
    <t>Rockwell Automation</t>
  </si>
  <si>
    <t>Samson</t>
  </si>
  <si>
    <t>Sanyo Denki</t>
  </si>
  <si>
    <t>Schmersal</t>
  </si>
  <si>
    <t>Schneider Electric</t>
  </si>
  <si>
    <t>Sick</t>
  </si>
  <si>
    <t>Siemens</t>
  </si>
  <si>
    <t>Smar</t>
  </si>
  <si>
    <t>SPX Valves &amp; Controls</t>
  </si>
  <si>
    <t>Sunx</t>
  </si>
  <si>
    <t>Tamagawa Seiki</t>
  </si>
  <si>
    <t>Teledyne</t>
  </si>
  <si>
    <t>Thermo Scientific</t>
  </si>
  <si>
    <t>TMEIC</t>
  </si>
  <si>
    <t>Toshiba</t>
  </si>
  <si>
    <t>Turck</t>
  </si>
  <si>
    <t>Wago</t>
  </si>
  <si>
    <t>Weg</t>
  </si>
  <si>
    <t>Weidmuller</t>
  </si>
  <si>
    <t>Wika</t>
  </si>
  <si>
    <t>Yaskawa</t>
  </si>
  <si>
    <t>Yokogawa</t>
  </si>
  <si>
    <t>Zebra Technologies</t>
  </si>
  <si>
    <t>Other</t>
  </si>
  <si>
    <t>01- Analyzers</t>
  </si>
  <si>
    <t>01- Control Valves</t>
  </si>
  <si>
    <t>01- Instruments</t>
  </si>
  <si>
    <t>01- DCS</t>
  </si>
  <si>
    <t>01- Safety Systems</t>
  </si>
  <si>
    <t>04- Sensors</t>
  </si>
  <si>
    <t>04- C&amp;S + Safety</t>
  </si>
  <si>
    <t>02-3 Motion</t>
  </si>
  <si>
    <t>02-1 Motor Starters &amp; Contactors</t>
  </si>
  <si>
    <t>marimekko</t>
  </si>
  <si>
    <t>chart</t>
  </si>
  <si>
    <t>data</t>
  </si>
  <si>
    <t>colors</t>
  </si>
  <si>
    <t>Parameters</t>
  </si>
  <si>
    <t>Last Update</t>
  </si>
  <si>
    <t>Comments</t>
  </si>
  <si>
    <t>Competitors - Products</t>
  </si>
  <si>
    <t>AMR Vision</t>
  </si>
  <si>
    <t>$</t>
  </si>
  <si>
    <t>Bn</t>
  </si>
  <si>
    <t>Color Scheme</t>
  </si>
  <si>
    <t>alternative color schemes (to copy)</t>
  </si>
  <si>
    <t>X</t>
  </si>
  <si>
    <t>Data</t>
  </si>
  <si>
    <t>Colors!$B$5:$B$103</t>
  </si>
  <si>
    <t>02-2 Drives LV</t>
  </si>
  <si>
    <t>02-2 Drives MV</t>
  </si>
  <si>
    <t>03-3 CNC</t>
  </si>
  <si>
    <t>03-3 Vision</t>
  </si>
  <si>
    <t>03-1 OP &amp; IPC</t>
  </si>
  <si>
    <t>03-2 PLC</t>
  </si>
  <si>
    <t>Title</t>
  </si>
  <si>
    <t>Json</t>
  </si>
  <si>
    <t>Marimekko C-P!$B$31</t>
  </si>
  <si>
    <t>Filter C-P!$C$5:$Q$103</t>
  </si>
  <si>
    <t>RGB</t>
  </si>
  <si>
    <t>Control (Color Scheme, Short Title, MS threshold, currency unit, display unit, internal unit...)</t>
  </si>
  <si>
    <t>Mn</t>
  </si>
  <si>
    <t>ShortTitleCols</t>
  </si>
  <si>
    <t>Cols Title</t>
  </si>
  <si>
    <t>Rows Title</t>
  </si>
  <si>
    <t>Actual Title</t>
  </si>
  <si>
    <t>Contactors + MCC</t>
  </si>
  <si>
    <t>shortTitleRows</t>
  </si>
  <si>
    <t>automation.json</t>
  </si>
  <si>
    <t>Colors!$A$1:$K$1</t>
  </si>
  <si>
    <t>Rows Parameters</t>
  </si>
  <si>
    <t>Cols Parameters</t>
  </si>
  <si>
    <t>see comments for variable defintion</t>
  </si>
  <si>
    <t>Colors!$C$5:$E$103</t>
  </si>
  <si>
    <t>Colors!$G$5:$I$19</t>
  </si>
  <si>
    <t>VSD</t>
  </si>
  <si>
    <t>MSC</t>
  </si>
  <si>
    <t>CTV</t>
  </si>
  <si>
    <t>OPI</t>
  </si>
  <si>
    <t>ANZ</t>
  </si>
  <si>
    <t>DRS</t>
  </si>
  <si>
    <t>SAS</t>
  </si>
  <si>
    <t>Colors!$K$1:$K1</t>
  </si>
  <si>
    <t>Marimekko C-P!$B$4:$Q$29</t>
  </si>
  <si>
    <t xml:space="preserve">Top Players (&gt;={{ratio_thresold}}%MS) ranking for Automation Markets {{currency}}{{size}} {{display}} </t>
  </si>
  <si>
    <t>Box Colors</t>
  </si>
  <si>
    <t>Box RGB</t>
  </si>
  <si>
    <t>variable</t>
  </si>
  <si>
    <t>Colors!$K5:$L8</t>
  </si>
  <si>
    <t>color_box_line</t>
  </si>
  <si>
    <t>color_header_fill</t>
  </si>
  <si>
    <t>color_header_text</t>
  </si>
  <si>
    <t>color_columns_text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</si>
</sst>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€_-;\-* #,##0.00\ _€_-;_-* &quot;-&quot;??\ _€_-;_-@_-"/>
    <numFmt numFmtId="164" formatCode="d/m/yy\ h:mm:ss:ms;@"/>
    <numFmt numFmtId="165" formatCode="_-* #,##0\ _€_-;\-* #,##0\ _€_-;_-* &quot;-&quot;??\ _€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0"/>
      <name val="Calibri"/>
      <family val="2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indexed="81"/>
      <name val="Tahoma"/>
      <charset val="1"/>
    </font>
  </fonts>
  <fills count="6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92">
    <xf numFmtId="0" fontId="0" fillId="0" borderId="0" xfId="0"/>
    <xf numFmtId="0" fontId="0" fillId="0" borderId="0" xfId="0" applyFont="1" applyFill="1"/>
    <xf numFmtId="0" fontId="0" fillId="0" borderId="0" xfId="0" applyNumberFormat="1" applyFont="1" applyFill="1"/>
    <xf numFmtId="164" fontId="0" fillId="0" borderId="0" xfId="0" applyNumberFormat="1"/>
    <xf numFmtId="0" fontId="4" fillId="0" borderId="1" xfId="0" applyNumberFormat="1" applyFont="1" applyFill="1" applyBorder="1" applyAlignment="1">
      <alignment horizontal="left" vertical="center" indent="2"/>
    </xf>
    <xf numFmtId="0" fontId="1" fillId="0" borderId="1" xfId="0" applyNumberFormat="1" applyFont="1" applyFill="1" applyBorder="1" applyAlignment="1">
      <alignment vertical="center"/>
    </xf>
    <xf numFmtId="0" fontId="6" fillId="0" borderId="1" xfId="3" applyNumberFormat="1" applyFont="1" applyFill="1" applyBorder="1" applyAlignment="1" applyProtection="1">
      <alignment horizontal="right" vertical="center"/>
    </xf>
    <xf numFmtId="9" fontId="1" fillId="0" borderId="1" xfId="2" applyFont="1" applyFill="1" applyBorder="1" applyAlignment="1">
      <alignment vertical="center"/>
    </xf>
    <xf numFmtId="0" fontId="0" fillId="0" borderId="0" xfId="0" applyFont="1" applyFill="1" applyBorder="1"/>
    <xf numFmtId="9" fontId="7" fillId="2" borderId="0" xfId="2" applyFont="1" applyFill="1" applyProtection="1"/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vertical="center"/>
    </xf>
    <xf numFmtId="0" fontId="4" fillId="3" borderId="1" xfId="0" applyNumberFormat="1" applyFont="1" applyFill="1" applyBorder="1" applyAlignment="1" applyProtection="1">
      <alignment horizontal="left" vertical="center" indent="2"/>
    </xf>
    <xf numFmtId="0" fontId="0" fillId="3" borderId="1" xfId="0" applyNumberFormat="1" applyFill="1" applyBorder="1" applyAlignment="1" applyProtection="1">
      <alignment vertical="center"/>
    </xf>
    <xf numFmtId="0" fontId="0" fillId="3" borderId="1" xfId="0" applyNumberFormat="1" applyFill="1" applyBorder="1" applyProtection="1"/>
    <xf numFmtId="0" fontId="0" fillId="0" borderId="0" xfId="0" applyNumberFormat="1" applyProtection="1"/>
    <xf numFmtId="0" fontId="0" fillId="0" borderId="0" xfId="0" applyNumberFormat="1" applyFont="1" applyBorder="1" applyAlignment="1" applyProtection="1">
      <alignment horizontal="center" vertical="top" wrapText="1"/>
    </xf>
    <xf numFmtId="0" fontId="0" fillId="3" borderId="0" xfId="0" applyNumberFormat="1" applyFill="1" applyAlignment="1" applyProtection="1">
      <alignment horizontal="center" vertical="center"/>
    </xf>
    <xf numFmtId="0" fontId="0" fillId="3" borderId="2" xfId="0" applyFont="1" applyFill="1" applyBorder="1" applyAlignment="1" applyProtection="1">
      <alignment horizontal="center" vertical="center"/>
    </xf>
    <xf numFmtId="0" fontId="3" fillId="4" borderId="3" xfId="0" applyNumberFormat="1" applyFont="1" applyFill="1" applyBorder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center" vertical="center"/>
    </xf>
    <xf numFmtId="0" fontId="3" fillId="6" borderId="3" xfId="0" applyFont="1" applyFill="1" applyBorder="1" applyAlignment="1" applyProtection="1">
      <alignment horizontal="center" vertical="center"/>
    </xf>
    <xf numFmtId="0" fontId="3" fillId="7" borderId="3" xfId="0" applyFont="1" applyFill="1" applyBorder="1" applyAlignment="1" applyProtection="1">
      <alignment horizontal="center" vertical="center"/>
    </xf>
    <xf numFmtId="0" fontId="3" fillId="8" borderId="3" xfId="0" applyFont="1" applyFill="1" applyBorder="1" applyAlignment="1" applyProtection="1">
      <alignment horizontal="center" vertical="center"/>
    </xf>
    <xf numFmtId="0" fontId="3" fillId="9" borderId="3" xfId="0" applyFont="1" applyFill="1" applyBorder="1" applyAlignment="1" applyProtection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</xf>
    <xf numFmtId="0" fontId="3" fillId="10" borderId="4" xfId="0" applyNumberFormat="1" applyFont="1" applyFill="1" applyBorder="1" applyAlignment="1" applyProtection="1">
      <alignment horizontal="center" vertical="center"/>
    </xf>
    <xf numFmtId="0" fontId="3" fillId="11" borderId="4" xfId="0" applyFont="1" applyFill="1" applyBorder="1" applyAlignment="1" applyProtection="1">
      <alignment horizontal="center" vertical="center"/>
    </xf>
    <xf numFmtId="0" fontId="3" fillId="12" borderId="4" xfId="0" applyFont="1" applyFill="1" applyBorder="1" applyAlignment="1" applyProtection="1">
      <alignment horizontal="center" vertical="center"/>
    </xf>
    <xf numFmtId="0" fontId="3" fillId="13" borderId="4" xfId="0" applyFont="1" applyFill="1" applyBorder="1" applyAlignment="1" applyProtection="1">
      <alignment horizontal="center" vertical="center"/>
    </xf>
    <xf numFmtId="0" fontId="3" fillId="14" borderId="4" xfId="0" applyFont="1" applyFill="1" applyBorder="1" applyAlignment="1" applyProtection="1">
      <alignment horizontal="center" vertical="center"/>
    </xf>
    <xf numFmtId="0" fontId="3" fillId="15" borderId="4" xfId="0" applyFont="1" applyFill="1" applyBorder="1" applyAlignment="1" applyProtection="1">
      <alignment horizontal="center" vertical="center"/>
    </xf>
    <xf numFmtId="0" fontId="3" fillId="16" borderId="4" xfId="0" applyNumberFormat="1" applyFont="1" applyFill="1" applyBorder="1" applyAlignment="1" applyProtection="1">
      <alignment horizontal="center" vertical="center"/>
    </xf>
    <xf numFmtId="0" fontId="3" fillId="17" borderId="4" xfId="0" applyFont="1" applyFill="1" applyBorder="1" applyAlignment="1" applyProtection="1">
      <alignment horizontal="center" vertical="center"/>
    </xf>
    <xf numFmtId="0" fontId="3" fillId="18" borderId="4" xfId="0" applyFont="1" applyFill="1" applyBorder="1" applyAlignment="1" applyProtection="1">
      <alignment horizontal="center" vertical="center"/>
    </xf>
    <xf numFmtId="0" fontId="3" fillId="19" borderId="4" xfId="0" applyFont="1" applyFill="1" applyBorder="1" applyAlignment="1" applyProtection="1">
      <alignment horizontal="center" vertical="center"/>
    </xf>
    <xf numFmtId="0" fontId="3" fillId="20" borderId="4" xfId="0" applyFont="1" applyFill="1" applyBorder="1" applyAlignment="1" applyProtection="1">
      <alignment horizontal="center" vertical="center"/>
    </xf>
    <xf numFmtId="0" fontId="3" fillId="21" borderId="4" xfId="0" applyFont="1" applyFill="1" applyBorder="1" applyAlignment="1" applyProtection="1">
      <alignment horizontal="center" vertical="center"/>
    </xf>
    <xf numFmtId="0" fontId="10" fillId="22" borderId="4" xfId="0" applyFont="1" applyFill="1" applyBorder="1" applyAlignment="1" applyProtection="1">
      <alignment horizontal="center" vertical="center"/>
    </xf>
    <xf numFmtId="0" fontId="0" fillId="23" borderId="4" xfId="0" applyNumberFormat="1" applyFont="1" applyFill="1" applyBorder="1" applyAlignment="1" applyProtection="1">
      <alignment horizontal="center" vertical="center"/>
    </xf>
    <xf numFmtId="0" fontId="0" fillId="24" borderId="4" xfId="0" applyFill="1" applyBorder="1" applyAlignment="1" applyProtection="1">
      <alignment horizontal="center" vertical="center"/>
    </xf>
    <xf numFmtId="0" fontId="0" fillId="25" borderId="4" xfId="0" applyFill="1" applyBorder="1" applyAlignment="1" applyProtection="1">
      <alignment horizontal="center" vertical="center"/>
    </xf>
    <xf numFmtId="0" fontId="0" fillId="26" borderId="4" xfId="0" applyFill="1" applyBorder="1" applyAlignment="1" applyProtection="1">
      <alignment horizontal="center" vertical="center"/>
    </xf>
    <xf numFmtId="0" fontId="0" fillId="27" borderId="4" xfId="0" applyFill="1" applyBorder="1" applyAlignment="1" applyProtection="1">
      <alignment horizontal="center" vertical="center"/>
    </xf>
    <xf numFmtId="0" fontId="0" fillId="28" borderId="4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29" borderId="4" xfId="0" applyNumberFormat="1" applyFont="1" applyFill="1" applyBorder="1" applyAlignment="1" applyProtection="1">
      <alignment horizontal="center" vertical="center"/>
    </xf>
    <xf numFmtId="0" fontId="0" fillId="30" borderId="4" xfId="0" applyFill="1" applyBorder="1" applyAlignment="1" applyProtection="1">
      <alignment horizontal="center" vertical="center"/>
    </xf>
    <xf numFmtId="0" fontId="0" fillId="31" borderId="4" xfId="0" applyFill="1" applyBorder="1" applyAlignment="1" applyProtection="1">
      <alignment horizontal="center" vertical="center"/>
    </xf>
    <xf numFmtId="0" fontId="0" fillId="32" borderId="4" xfId="0" applyFill="1" applyBorder="1" applyAlignment="1" applyProtection="1">
      <alignment horizontal="center" vertical="center"/>
    </xf>
    <xf numFmtId="0" fontId="0" fillId="33" borderId="4" xfId="0" applyFill="1" applyBorder="1" applyAlignment="1" applyProtection="1">
      <alignment horizontal="center" vertical="center"/>
    </xf>
    <xf numFmtId="0" fontId="0" fillId="34" borderId="4" xfId="0" applyFill="1" applyBorder="1" applyAlignment="1" applyProtection="1">
      <alignment horizontal="center" vertical="center"/>
    </xf>
    <xf numFmtId="0" fontId="0" fillId="35" borderId="4" xfId="0" applyNumberFormat="1" applyFont="1" applyFill="1" applyBorder="1" applyAlignment="1" applyProtection="1">
      <alignment horizontal="center" vertical="center"/>
    </xf>
    <xf numFmtId="0" fontId="0" fillId="36" borderId="4" xfId="0" applyFill="1" applyBorder="1" applyAlignment="1" applyProtection="1">
      <alignment horizontal="center" vertical="center"/>
    </xf>
    <xf numFmtId="0" fontId="0" fillId="37" borderId="4" xfId="0" applyFill="1" applyBorder="1" applyAlignment="1" applyProtection="1">
      <alignment horizontal="center" vertical="center"/>
    </xf>
    <xf numFmtId="0" fontId="0" fillId="38" borderId="4" xfId="0" applyFill="1" applyBorder="1" applyAlignment="1" applyProtection="1">
      <alignment horizontal="center" vertical="center"/>
    </xf>
    <xf numFmtId="0" fontId="0" fillId="39" borderId="4" xfId="0" applyFill="1" applyBorder="1" applyAlignment="1" applyProtection="1">
      <alignment horizontal="center" vertical="center"/>
    </xf>
    <xf numFmtId="0" fontId="0" fillId="40" borderId="4" xfId="0" applyFill="1" applyBorder="1" applyAlignment="1" applyProtection="1">
      <alignment horizontal="center" vertical="center"/>
    </xf>
    <xf numFmtId="0" fontId="0" fillId="41" borderId="4" xfId="0" applyNumberFormat="1" applyFont="1" applyFill="1" applyBorder="1" applyAlignment="1" applyProtection="1">
      <alignment horizontal="center" vertical="center"/>
    </xf>
    <xf numFmtId="0" fontId="0" fillId="42" borderId="4" xfId="0" applyFill="1" applyBorder="1" applyAlignment="1" applyProtection="1">
      <alignment horizontal="center" vertical="center"/>
    </xf>
    <xf numFmtId="0" fontId="0" fillId="43" borderId="4" xfId="0" applyFill="1" applyBorder="1" applyAlignment="1" applyProtection="1">
      <alignment horizontal="center" vertical="center"/>
    </xf>
    <xf numFmtId="0" fontId="0" fillId="44" borderId="4" xfId="0" applyFill="1" applyBorder="1" applyAlignment="1" applyProtection="1">
      <alignment horizontal="center" vertical="center"/>
    </xf>
    <xf numFmtId="0" fontId="0" fillId="45" borderId="4" xfId="0" applyFill="1" applyBorder="1" applyAlignment="1" applyProtection="1">
      <alignment horizontal="center" vertical="center"/>
    </xf>
    <xf numFmtId="0" fontId="0" fillId="46" borderId="4" xfId="0" applyFill="1" applyBorder="1" applyAlignment="1" applyProtection="1">
      <alignment horizontal="center" vertical="center"/>
    </xf>
    <xf numFmtId="0" fontId="3" fillId="47" borderId="4" xfId="0" applyNumberFormat="1" applyFont="1" applyFill="1" applyBorder="1" applyAlignment="1" applyProtection="1">
      <alignment horizontal="center" vertical="center"/>
    </xf>
    <xf numFmtId="0" fontId="3" fillId="48" borderId="4" xfId="0" applyFont="1" applyFill="1" applyBorder="1" applyAlignment="1" applyProtection="1">
      <alignment horizontal="center" vertical="center"/>
    </xf>
    <xf numFmtId="0" fontId="3" fillId="49" borderId="4" xfId="0" applyFont="1" applyFill="1" applyBorder="1" applyAlignment="1" applyProtection="1">
      <alignment horizontal="center" vertical="center"/>
    </xf>
    <xf numFmtId="0" fontId="3" fillId="22" borderId="4" xfId="0" applyFont="1" applyFill="1" applyBorder="1" applyAlignment="1" applyProtection="1">
      <alignment horizontal="center" vertical="center"/>
    </xf>
    <xf numFmtId="0" fontId="3" fillId="50" borderId="4" xfId="0" applyFont="1" applyFill="1" applyBorder="1" applyAlignment="1" applyProtection="1">
      <alignment horizontal="center" vertical="center"/>
    </xf>
    <xf numFmtId="0" fontId="3" fillId="51" borderId="4" xfId="0" applyFont="1" applyFill="1" applyBorder="1" applyAlignment="1" applyProtection="1">
      <alignment horizontal="center" vertical="center"/>
    </xf>
    <xf numFmtId="0" fontId="3" fillId="52" borderId="4" xfId="0" applyNumberFormat="1" applyFont="1" applyFill="1" applyBorder="1" applyAlignment="1" applyProtection="1">
      <alignment horizontal="center" vertical="center"/>
    </xf>
    <xf numFmtId="0" fontId="3" fillId="53" borderId="4" xfId="0" applyFont="1" applyFill="1" applyBorder="1" applyAlignment="1" applyProtection="1">
      <alignment horizontal="center" vertical="center"/>
    </xf>
    <xf numFmtId="0" fontId="3" fillId="54" borderId="4" xfId="0" applyFont="1" applyFill="1" applyBorder="1" applyAlignment="1" applyProtection="1">
      <alignment horizontal="center" vertical="center"/>
    </xf>
    <xf numFmtId="0" fontId="3" fillId="55" borderId="4" xfId="0" applyFont="1" applyFill="1" applyBorder="1" applyAlignment="1" applyProtection="1">
      <alignment horizontal="center" vertical="center"/>
    </xf>
    <xf numFmtId="0" fontId="3" fillId="56" borderId="4" xfId="0" applyFont="1" applyFill="1" applyBorder="1" applyAlignment="1" applyProtection="1">
      <alignment horizontal="center" vertical="center"/>
    </xf>
    <xf numFmtId="0" fontId="3" fillId="57" borderId="4" xfId="0" applyFont="1" applyFill="1" applyBorder="1" applyAlignment="1" applyProtection="1">
      <alignment horizontal="center" vertical="center"/>
    </xf>
    <xf numFmtId="0" fontId="3" fillId="58" borderId="5" xfId="0" applyNumberFormat="1" applyFont="1" applyFill="1" applyBorder="1" applyAlignment="1" applyProtection="1">
      <alignment horizontal="center" vertical="center"/>
    </xf>
    <xf numFmtId="0" fontId="3" fillId="59" borderId="5" xfId="0" applyFont="1" applyFill="1" applyBorder="1" applyAlignment="1" applyProtection="1">
      <alignment horizontal="center" vertical="center"/>
    </xf>
    <xf numFmtId="0" fontId="3" fillId="60" borderId="5" xfId="0" applyFont="1" applyFill="1" applyBorder="1" applyAlignment="1" applyProtection="1">
      <alignment horizontal="center" vertical="center"/>
    </xf>
    <xf numFmtId="0" fontId="3" fillId="61" borderId="5" xfId="0" applyFont="1" applyFill="1" applyBorder="1" applyAlignment="1" applyProtection="1">
      <alignment horizontal="center" vertical="center"/>
    </xf>
    <xf numFmtId="0" fontId="3" fillId="62" borderId="5" xfId="0" applyFont="1" applyFill="1" applyBorder="1" applyAlignment="1" applyProtection="1">
      <alignment horizontal="center" vertical="center"/>
    </xf>
    <xf numFmtId="0" fontId="3" fillId="63" borderId="5" xfId="0" applyFont="1" applyFill="1" applyBorder="1" applyAlignment="1" applyProtection="1">
      <alignment horizontal="center" vertical="center"/>
    </xf>
    <xf numFmtId="0" fontId="9" fillId="3" borderId="5" xfId="0" applyFont="1" applyFill="1" applyBorder="1" applyAlignment="1" applyProtection="1">
      <alignment horizontal="center" vertical="center"/>
    </xf>
    <xf numFmtId="165" fontId="0" fillId="0" borderId="0" xfId="1" applyNumberFormat="1" applyFont="1" applyProtection="1"/>
    <xf numFmtId="0" fontId="0" fillId="0" borderId="6" xfId="0" applyNumberFormat="1" applyFont="1" applyBorder="1" applyAlignment="1" applyProtection="1">
      <alignment horizontal="left" vertical="top" wrapText="1" indent="1"/>
    </xf>
    <xf numFmtId="3" fontId="0" fillId="0" borderId="6" xfId="0" applyNumberFormat="1" applyBorder="1" applyAlignment="1" applyProtection="1">
      <alignment horizontal="right" vertical="center" wrapText="1" indent="1"/>
      <protection locked="0"/>
    </xf>
    <xf numFmtId="3" fontId="0" fillId="0" borderId="0" xfId="0" applyNumberFormat="1" applyProtection="1"/>
    <xf numFmtId="0" fontId="0" fillId="0" borderId="0" xfId="0" quotePrefix="1" applyNumberFormat="1" applyProtection="1"/>
    <xf numFmtId="0" fontId="0" fillId="64" borderId="0" xfId="0" applyNumberFormat="1" applyFill="1" applyProtection="1"/>
    <xf numFmtId="0" fontId="0" fillId="65" borderId="0" xfId="0" applyNumberFormat="1" applyFill="1" applyProtection="1"/>
    <xf numFmtId="0" fontId="0" fillId="66" borderId="0" xfId="0" applyNumberFormat="1" applyFill="1" applyProtection="1"/>
    <xf numFmtId="0" fontId="8" fillId="3" borderId="0" xfId="0" applyNumberFormat="1" applyFont="1" applyFill="1" applyAlignment="1" applyProtection="1">
      <alignment horizontal="center" vertical="center"/>
    </xf>
  </cellXfs>
  <cellStyles count="4">
    <cellStyle name="Lien hypertexte 2" xfId="3"/>
    <cellStyle name="Milliers" xfId="1" builtinId="3"/>
    <cellStyle name="Normal" xfId="0" builtinId="0"/>
    <cellStyle name="Pourcentage" xfId="2" builtinId="5"/>
  </cellStyles>
  <dxfs count="3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1" defaultTableStyle="TableStyleMedium2" defaultPivotStyle="PivotStyleLight16"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38100</xdr:rowOff>
        </xdr:from>
        <xdr:to>
          <xdr:col>1</xdr:col>
          <xdr:colOff>899160</xdr:colOff>
          <xdr:row>2</xdr:row>
          <xdr:rowOff>175260</xdr:rowOff>
        </xdr:to>
        <xdr:sp macro="" textlink="">
          <xdr:nvSpPr>
            <xdr:cNvPr id="10241" name="Update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ysClr val="window" lastClr="FFFFFF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72000" tIns="72000" rIns="72000" bIns="72000" rtlCol="0" anchor="t" anchorCtr="0">
          <a:noAutofit/>
        </a:bodyPr>
        <a:lstStyle/>
        <a:p>
          <a:pPr algn="l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8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9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0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1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3</xdr:row>
      <xdr:rowOff>133350</xdr:rowOff>
    </xdr:from>
    <xdr:to>
      <xdr:col>17</xdr:col>
      <xdr:colOff>0</xdr:colOff>
      <xdr:row>29</xdr:row>
      <xdr:rowOff>133350</xdr:rowOff>
    </xdr:to>
    <xdr:grpSp>
      <xdr:nvGrpSpPr>
        <xdr:cNvPr id="171566" name="MMC_Group"/>
        <xdr:cNvGrpSpPr/>
      </xdr:nvGrpSpPr>
      <xdr:grpSpPr>
        <a:xfrm>
          <a:off x="180975" y="895350"/>
          <a:ext cx="14220825" cy="5200650"/>
          <a:chOff x="180975" y="895350"/>
          <a:chExt cx="5597717" cy="12411075"/>
        </a:xfrm>
      </xdr:grpSpPr>
      <xdr:sp macro="" textlink="">
        <xdr:nvSpPr>
          <xdr:cNvPr id="170066" name="MMC_RowHeader01"/>
          <xdr:cNvSpPr txBox="1"/>
        </xdr:nvSpPr>
        <xdr:spPr>
          <a:xfrm>
            <a:off x="180975" y="895350"/>
            <a:ext cx="714375" cy="1598318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DCS $13.5Bn</a:t>
            </a:r>
          </a:p>
        </xdr:txBody>
      </xdr:sp>
      <xdr:sp macro="" textlink="">
        <xdr:nvSpPr>
          <xdr:cNvPr id="170067" name="MMC_RowHeader02"/>
          <xdr:cNvSpPr txBox="1"/>
        </xdr:nvSpPr>
        <xdr:spPr>
          <a:xfrm>
            <a:off x="180975" y="2493668"/>
            <a:ext cx="714375" cy="1500246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03-2 PLC 12.7</a:t>
            </a:r>
          </a:p>
        </xdr:txBody>
      </xdr:sp>
      <xdr:sp macro="" textlink="">
        <xdr:nvSpPr>
          <xdr:cNvPr id="170068" name="MMC_RowHeader03"/>
          <xdr:cNvSpPr txBox="1"/>
        </xdr:nvSpPr>
        <xdr:spPr>
          <a:xfrm>
            <a:off x="180975" y="3993914"/>
            <a:ext cx="714375" cy="136010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04- C&amp;S + Safety 11.5</a:t>
            </a:r>
          </a:p>
        </xdr:txBody>
      </xdr:sp>
      <xdr:sp macro="" textlink="">
        <xdr:nvSpPr>
          <xdr:cNvPr id="170069" name="MMC_RowHeader04"/>
          <xdr:cNvSpPr txBox="1"/>
        </xdr:nvSpPr>
        <xdr:spPr>
          <a:xfrm>
            <a:off x="180975" y="5354014"/>
            <a:ext cx="714375" cy="128326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02-2 Drives LV 10.9</a:t>
            </a:r>
          </a:p>
        </xdr:txBody>
      </xdr:sp>
      <xdr:sp macro="" textlink="">
        <xdr:nvSpPr>
          <xdr:cNvPr id="170070" name="MMC_RowHeader05"/>
          <xdr:cNvSpPr txBox="1"/>
        </xdr:nvSpPr>
        <xdr:spPr>
          <a:xfrm>
            <a:off x="180975" y="6637282"/>
            <a:ext cx="714375" cy="1137891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02-1 Motor Starters &amp; Contactors 9.6</a:t>
            </a:r>
          </a:p>
        </xdr:txBody>
      </xdr:sp>
      <xdr:sp macro="" textlink="">
        <xdr:nvSpPr>
          <xdr:cNvPr id="170071" name="MMC_RowHeader06"/>
          <xdr:cNvSpPr txBox="1"/>
        </xdr:nvSpPr>
        <xdr:spPr>
          <a:xfrm>
            <a:off x="180975" y="7775173"/>
            <a:ext cx="714375" cy="84450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02-3 Motion 7.1</a:t>
            </a:r>
          </a:p>
        </xdr:txBody>
      </xdr:sp>
      <xdr:sp macro="" textlink="">
        <xdr:nvSpPr>
          <xdr:cNvPr id="170072" name="MMC_RowHeader07"/>
          <xdr:cNvSpPr txBox="1"/>
        </xdr:nvSpPr>
        <xdr:spPr>
          <a:xfrm>
            <a:off x="180975" y="8619673"/>
            <a:ext cx="714375" cy="75725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03-3 CNC 6.4</a:t>
            </a:r>
          </a:p>
        </xdr:txBody>
      </xdr:sp>
      <xdr:sp macro="" textlink="">
        <xdr:nvSpPr>
          <xdr:cNvPr id="170073" name="MMC_RowHeader08"/>
          <xdr:cNvSpPr txBox="1"/>
        </xdr:nvSpPr>
        <xdr:spPr>
          <a:xfrm>
            <a:off x="180975" y="9376926"/>
            <a:ext cx="714375" cy="755504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Control Valves 6.4</a:t>
            </a:r>
          </a:p>
        </xdr:txBody>
      </xdr:sp>
      <xdr:sp macro="" textlink="">
        <xdr:nvSpPr>
          <xdr:cNvPr id="170074" name="MMC_RowHeader09"/>
          <xdr:cNvSpPr txBox="1"/>
        </xdr:nvSpPr>
        <xdr:spPr>
          <a:xfrm>
            <a:off x="180975" y="10132430"/>
            <a:ext cx="714375" cy="70444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04- Sensors 6</a:t>
            </a:r>
          </a:p>
        </xdr:txBody>
      </xdr:sp>
      <xdr:sp macro="" textlink="">
        <xdr:nvSpPr>
          <xdr:cNvPr id="170075" name="MMC_RowHeader10"/>
          <xdr:cNvSpPr txBox="1"/>
        </xdr:nvSpPr>
        <xdr:spPr>
          <a:xfrm>
            <a:off x="180975" y="10836873"/>
            <a:ext cx="714375" cy="66057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Instruments 5.6</a:t>
            </a:r>
          </a:p>
        </xdr:txBody>
      </xdr:sp>
      <xdr:sp macro="" textlink="">
        <xdr:nvSpPr>
          <xdr:cNvPr id="170076" name="MMC_RowHeader11"/>
          <xdr:cNvSpPr txBox="1"/>
        </xdr:nvSpPr>
        <xdr:spPr>
          <a:xfrm>
            <a:off x="180975" y="11497445"/>
            <a:ext cx="714375" cy="53047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03-1 OP &amp; IPC 4.5</a:t>
            </a:r>
          </a:p>
        </xdr:txBody>
      </xdr:sp>
      <xdr:sp macro="" textlink="">
        <xdr:nvSpPr>
          <xdr:cNvPr id="170077" name="MMC_RowHeader12"/>
          <xdr:cNvSpPr txBox="1"/>
        </xdr:nvSpPr>
        <xdr:spPr>
          <a:xfrm>
            <a:off x="180975" y="12027915"/>
            <a:ext cx="714375" cy="44239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Analyzers 3.7</a:t>
            </a:r>
          </a:p>
        </xdr:txBody>
      </xdr:sp>
      <xdr:sp macro="" textlink="">
        <xdr:nvSpPr>
          <xdr:cNvPr id="170078" name="MMC_RowHeader13"/>
          <xdr:cNvSpPr txBox="1"/>
        </xdr:nvSpPr>
        <xdr:spPr>
          <a:xfrm>
            <a:off x="180975" y="12470307"/>
            <a:ext cx="714375" cy="335534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02-2 Drives MV 2.8</a:t>
            </a:r>
          </a:p>
        </xdr:txBody>
      </xdr:sp>
      <xdr:sp macro="" textlink="">
        <xdr:nvSpPr>
          <xdr:cNvPr id="170079" name="MMC_RowHeader14"/>
          <xdr:cNvSpPr txBox="1"/>
        </xdr:nvSpPr>
        <xdr:spPr>
          <a:xfrm>
            <a:off x="180975" y="12805841"/>
            <a:ext cx="714375" cy="28035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Safety Systems 2.4</a:t>
            </a:r>
          </a:p>
        </xdr:txBody>
      </xdr:sp>
      <xdr:sp macro="" textlink="">
        <xdr:nvSpPr>
          <xdr:cNvPr id="170080" name="MMC_RowHeader15"/>
          <xdr:cNvSpPr txBox="1"/>
        </xdr:nvSpPr>
        <xdr:spPr>
          <a:xfrm>
            <a:off x="180975" y="13086200"/>
            <a:ext cx="714375" cy="220225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03-3 Vision 1.9</a:t>
            </a:r>
          </a:p>
        </xdr:txBody>
      </xdr:sp>
      <xdr:sp macro="" textlink="">
        <xdr:nvSpPr>
          <xdr:cNvPr id="170081" name="MMC_R01_C01"/>
          <xdr:cNvSpPr txBox="1"/>
        </xdr:nvSpPr>
        <xdr:spPr>
          <a:xfrm>
            <a:off x="2101622" y="895350"/>
            <a:ext cx="708964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16%</a:t>
            </a:r>
          </a:p>
        </xdr:txBody>
      </xdr:sp>
      <xdr:sp macro="" textlink="">
        <xdr:nvSpPr>
          <xdr:cNvPr id="170082" name="MMC_R02_C01"/>
          <xdr:cNvSpPr txBox="1"/>
        </xdr:nvSpPr>
        <xdr:spPr>
          <a:xfrm>
            <a:off x="4725569" y="895350"/>
            <a:ext cx="302998" cy="1598318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170083" name="MMC_R03_C01"/>
          <xdr:cNvSpPr txBox="1"/>
        </xdr:nvSpPr>
        <xdr:spPr>
          <a:xfrm>
            <a:off x="1206500" y="895350"/>
            <a:ext cx="895122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20%</a:t>
            </a:r>
          </a:p>
        </xdr:txBody>
      </xdr:sp>
      <xdr:sp macro="" textlink="">
        <xdr:nvSpPr>
          <xdr:cNvPr id="170084" name="MMC_R04_C01"/>
          <xdr:cNvSpPr txBox="1"/>
        </xdr:nvSpPr>
        <xdr:spPr>
          <a:xfrm>
            <a:off x="5028567" y="895350"/>
            <a:ext cx="14455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3%</a:t>
            </a:r>
          </a:p>
        </xdr:txBody>
      </xdr:sp>
      <xdr:sp macro="" textlink="">
        <xdr:nvSpPr>
          <xdr:cNvPr id="170085" name="MMC_R0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86" name="MMC_R0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87" name="MMC_R07_C01"/>
          <xdr:cNvSpPr txBox="1"/>
        </xdr:nvSpPr>
        <xdr:spPr>
          <a:xfrm>
            <a:off x="4219235" y="895350"/>
            <a:ext cx="506334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11%</a:t>
            </a:r>
          </a:p>
        </xdr:txBody>
      </xdr:sp>
      <xdr:sp macro="" textlink="">
        <xdr:nvSpPr>
          <xdr:cNvPr id="170088" name="MMC_R0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89" name="MMC_R09_C01"/>
          <xdr:cNvSpPr txBox="1"/>
        </xdr:nvSpPr>
        <xdr:spPr>
          <a:xfrm>
            <a:off x="2810586" y="895350"/>
            <a:ext cx="708322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Optex 15%</a:t>
            </a:r>
          </a:p>
        </xdr:txBody>
      </xdr:sp>
      <xdr:sp macro="" textlink="">
        <xdr:nvSpPr>
          <xdr:cNvPr id="170090" name="MMC_R10_C01"/>
          <xdr:cNvSpPr txBox="1"/>
        </xdr:nvSpPr>
        <xdr:spPr>
          <a:xfrm>
            <a:off x="5245904" y="895350"/>
            <a:ext cx="4734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1" name="MMC_R1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2" name="MMC_R1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3" name="MMC_R1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4" name="MMC_R1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5" name="MMC_R1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6" name="MMC_R1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7" name="MMC_R17_C01"/>
          <xdr:cNvSpPr txBox="1"/>
        </xdr:nvSpPr>
        <xdr:spPr>
          <a:xfrm>
            <a:off x="3518908" y="895350"/>
            <a:ext cx="70032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15%</a:t>
            </a:r>
          </a:p>
        </xdr:txBody>
      </xdr:sp>
      <xdr:sp macro="" textlink="">
        <xdr:nvSpPr>
          <xdr:cNvPr id="170098" name="MMC_R18_C01"/>
          <xdr:cNvSpPr txBox="1"/>
        </xdr:nvSpPr>
        <xdr:spPr>
          <a:xfrm>
            <a:off x="5358535" y="895350"/>
            <a:ext cx="10381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9" name="MMC_R1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0" name="MMC_R2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1" name="MMC_R21_C01"/>
          <xdr:cNvSpPr txBox="1"/>
        </xdr:nvSpPr>
        <xdr:spPr>
          <a:xfrm>
            <a:off x="5293244" y="895350"/>
            <a:ext cx="3884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2" name="MMC_R2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3" name="MMC_R2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4" name="MMC_R24_C01"/>
          <xdr:cNvSpPr txBox="1"/>
        </xdr:nvSpPr>
        <xdr:spPr>
          <a:xfrm>
            <a:off x="5332091" y="895350"/>
            <a:ext cx="15445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5" name="MMC_R2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6" name="MMC_R2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7" name="MMC_R2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8" name="MMC_R2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9" name="MMC_R2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0" name="MMC_R3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1" name="MMC_R3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2" name="MMC_R32_C01"/>
          <xdr:cNvSpPr txBox="1"/>
        </xdr:nvSpPr>
        <xdr:spPr>
          <a:xfrm>
            <a:off x="5173124" y="895350"/>
            <a:ext cx="7278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3" name="MMC_R3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4" name="MMC_R3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5" name="MMC_R3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6" name="MMC_R3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7" name="MMC_R3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8" name="MMC_R3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9" name="MMC_R3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0" name="MMC_R4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1" name="MMC_R4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2" name="MMC_R4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3" name="MMC_R4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4" name="MMC_R4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5" name="MMC_R4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6" name="MMC_R4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7" name="MMC_R4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8" name="MMC_R4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9" name="MMC_R4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0" name="MMC_R5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1" name="MMC_R5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2" name="MMC_R5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3" name="MMC_R5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4" name="MMC_R5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5" name="MMC_R5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6" name="MMC_R5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7" name="MMC_R5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8" name="MMC_R5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9" name="MMC_R5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0" name="MMC_R6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1" name="MMC_R6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2" name="MMC_R6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3" name="MMC_R6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4" name="MMC_R6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5" name="MMC_R6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6" name="MMC_R6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7" name="MMC_R6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8" name="MMC_R6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9" name="MMC_R6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0" name="MMC_R7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1" name="MMC_R7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2" name="MMC_R7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3" name="MMC_R7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4" name="MMC_R7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5" name="MMC_R7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6" name="MMC_R7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7" name="MMC_R7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8" name="MMC_R78_C01"/>
          <xdr:cNvSpPr txBox="1"/>
        </xdr:nvSpPr>
        <xdr:spPr>
          <a:xfrm>
            <a:off x="5347536" y="895350"/>
            <a:ext cx="10999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9" name="MMC_R7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0" name="MMC_R8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1" name="MMC_R8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2" name="MMC_R8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3" name="MMC_R8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4" name="MMC_R8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5" name="MMC_R8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6" name="MMC_R8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7" name="MMC_R8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8" name="MMC_R8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9" name="MMC_R8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0" name="MMC_R9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1" name="MMC_R9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2" name="MMC_R9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3" name="MMC_R9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4" name="MMC_R9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5" name="MMC_R9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6" name="MMC_R9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7" name="MMC_R9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8" name="MMC_R9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9" name="MMC_R99_C01"/>
          <xdr:cNvSpPr txBox="1"/>
        </xdr:nvSpPr>
        <xdr:spPr>
          <a:xfrm>
            <a:off x="5368944" y="895350"/>
            <a:ext cx="409585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70180" name="MMC_R01_C02"/>
          <xdr:cNvSpPr txBox="1"/>
        </xdr:nvSpPr>
        <xdr:spPr>
          <a:xfrm>
            <a:off x="1206500" y="2493668"/>
            <a:ext cx="125356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27%</a:t>
            </a:r>
          </a:p>
        </xdr:txBody>
      </xdr:sp>
      <xdr:sp macro="" textlink="">
        <xdr:nvSpPr>
          <xdr:cNvPr id="170181" name="MMC_R02_C02"/>
          <xdr:cNvSpPr txBox="1"/>
        </xdr:nvSpPr>
        <xdr:spPr>
          <a:xfrm>
            <a:off x="3911848" y="2493668"/>
            <a:ext cx="375631" cy="1500246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8%</a:t>
            </a:r>
          </a:p>
        </xdr:txBody>
      </xdr:sp>
      <xdr:sp macro="" textlink="">
        <xdr:nvSpPr>
          <xdr:cNvPr id="170182" name="MMC_R03_C02"/>
          <xdr:cNvSpPr txBox="1"/>
        </xdr:nvSpPr>
        <xdr:spPr>
          <a:xfrm>
            <a:off x="4816719" y="2493668"/>
            <a:ext cx="8794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83" name="MMC_R04_C02"/>
          <xdr:cNvSpPr txBox="1"/>
        </xdr:nvSpPr>
        <xdr:spPr>
          <a:xfrm>
            <a:off x="2460068" y="2493668"/>
            <a:ext cx="100591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22%</a:t>
            </a:r>
          </a:p>
        </xdr:txBody>
      </xdr:sp>
      <xdr:sp macro="" textlink="">
        <xdr:nvSpPr>
          <xdr:cNvPr id="170184" name="MMC_R05_C02"/>
          <xdr:cNvSpPr txBox="1"/>
        </xdr:nvSpPr>
        <xdr:spPr>
          <a:xfrm>
            <a:off x="4503414" y="2493668"/>
            <a:ext cx="17018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Yokogawa 4%</a:t>
            </a:r>
          </a:p>
        </xdr:txBody>
      </xdr:sp>
      <xdr:sp macro="" textlink="">
        <xdr:nvSpPr>
          <xdr:cNvPr id="170185" name="MMC_R06_C02"/>
          <xdr:cNvSpPr txBox="1"/>
        </xdr:nvSpPr>
        <xdr:spPr>
          <a:xfrm>
            <a:off x="3465982" y="2493668"/>
            <a:ext cx="44586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70186" name="MMC_R07_C02"/>
          <xdr:cNvSpPr txBox="1"/>
        </xdr:nvSpPr>
        <xdr:spPr>
          <a:xfrm>
            <a:off x="4980803" y="2493668"/>
            <a:ext cx="4891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87" name="MMC_R08_C02"/>
          <xdr:cNvSpPr txBox="1"/>
        </xdr:nvSpPr>
        <xdr:spPr>
          <a:xfrm>
            <a:off x="4287479" y="2493668"/>
            <a:ext cx="21593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5%</a:t>
            </a:r>
          </a:p>
        </xdr:txBody>
      </xdr:sp>
      <xdr:sp macro="" textlink="">
        <xdr:nvSpPr>
          <xdr:cNvPr id="170188" name="MMC_R09_C02"/>
          <xdr:cNvSpPr txBox="1"/>
        </xdr:nvSpPr>
        <xdr:spPr>
          <a:xfrm>
            <a:off x="5268925" y="2493668"/>
            <a:ext cx="1666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89" name="MMC_R10_C02"/>
          <xdr:cNvSpPr txBox="1"/>
        </xdr:nvSpPr>
        <xdr:spPr>
          <a:xfrm>
            <a:off x="4673594" y="2493668"/>
            <a:ext cx="14312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3%</a:t>
            </a:r>
          </a:p>
        </xdr:txBody>
      </xdr:sp>
      <xdr:sp macro="" textlink="">
        <xdr:nvSpPr>
          <xdr:cNvPr id="170190" name="MMC_R1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1" name="MMC_R1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2" name="MMC_R13_C02"/>
          <xdr:cNvSpPr txBox="1"/>
        </xdr:nvSpPr>
        <xdr:spPr>
          <a:xfrm>
            <a:off x="5312883" y="2493668"/>
            <a:ext cx="1030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3" name="MMC_R1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4" name="MMC_R1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5" name="MMC_R1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6" name="MMC_R17_C02"/>
          <xdr:cNvSpPr txBox="1"/>
        </xdr:nvSpPr>
        <xdr:spPr>
          <a:xfrm>
            <a:off x="5137226" y="2493668"/>
            <a:ext cx="2893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7" name="MMC_R18_C02"/>
          <xdr:cNvSpPr txBox="1"/>
        </xdr:nvSpPr>
        <xdr:spPr>
          <a:xfrm>
            <a:off x="5070632" y="2493668"/>
            <a:ext cx="3377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8" name="MMC_R1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9" name="MMC_R20_C02"/>
          <xdr:cNvSpPr txBox="1"/>
        </xdr:nvSpPr>
        <xdr:spPr>
          <a:xfrm>
            <a:off x="5333053" y="2493668"/>
            <a:ext cx="985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0" name="MMC_R21_C02"/>
          <xdr:cNvSpPr txBox="1"/>
        </xdr:nvSpPr>
        <xdr:spPr>
          <a:xfrm>
            <a:off x="5234276" y="2493668"/>
            <a:ext cx="1755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1" name="MMC_R2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2" name="MMC_R23_C02"/>
          <xdr:cNvSpPr txBox="1"/>
        </xdr:nvSpPr>
        <xdr:spPr>
          <a:xfrm>
            <a:off x="5216412" y="2493668"/>
            <a:ext cx="1786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3" name="MMC_R24_C02"/>
          <xdr:cNvSpPr txBox="1"/>
        </xdr:nvSpPr>
        <xdr:spPr>
          <a:xfrm>
            <a:off x="5251831" y="2493668"/>
            <a:ext cx="1709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4" name="MMC_R25_C02"/>
          <xdr:cNvSpPr txBox="1"/>
        </xdr:nvSpPr>
        <xdr:spPr>
          <a:xfrm>
            <a:off x="5191990" y="2493668"/>
            <a:ext cx="24422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5" name="MMC_R26_C02"/>
          <xdr:cNvSpPr txBox="1"/>
        </xdr:nvSpPr>
        <xdr:spPr>
          <a:xfrm>
            <a:off x="5301317" y="2493668"/>
            <a:ext cx="1156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6" name="MMC_R27_C02"/>
          <xdr:cNvSpPr txBox="1"/>
        </xdr:nvSpPr>
        <xdr:spPr>
          <a:xfrm>
            <a:off x="5029721" y="2493668"/>
            <a:ext cx="4091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7" name="MMC_R2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8" name="MMC_R29_C02"/>
          <xdr:cNvSpPr txBox="1"/>
        </xdr:nvSpPr>
        <xdr:spPr>
          <a:xfrm>
            <a:off x="5367745" y="2493668"/>
            <a:ext cx="194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9" name="MMC_R30_C02"/>
          <xdr:cNvSpPr txBox="1"/>
        </xdr:nvSpPr>
        <xdr:spPr>
          <a:xfrm>
            <a:off x="4904664" y="2493668"/>
            <a:ext cx="7613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0" name="MMC_R3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1" name="MMC_R32_C02"/>
          <xdr:cNvSpPr txBox="1"/>
        </xdr:nvSpPr>
        <xdr:spPr>
          <a:xfrm>
            <a:off x="5372882" y="2493668"/>
            <a:ext cx="27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2" name="MMC_R33_C02"/>
          <xdr:cNvSpPr txBox="1"/>
        </xdr:nvSpPr>
        <xdr:spPr>
          <a:xfrm>
            <a:off x="5371522" y="2493668"/>
            <a:ext cx="136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3" name="MMC_R3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4" name="MMC_R3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5" name="MMC_R3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6" name="MMC_R3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7" name="MMC_R38_C02"/>
          <xdr:cNvSpPr txBox="1"/>
        </xdr:nvSpPr>
        <xdr:spPr>
          <a:xfrm>
            <a:off x="5104409" y="2493668"/>
            <a:ext cx="3281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8" name="MMC_R3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9" name="MMC_R4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0" name="MMC_R41_C02"/>
          <xdr:cNvSpPr txBox="1"/>
        </xdr:nvSpPr>
        <xdr:spPr>
          <a:xfrm>
            <a:off x="5364581" y="2493668"/>
            <a:ext cx="316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1" name="MMC_R4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2" name="MMC_R4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3" name="MMC_R44_C02"/>
          <xdr:cNvSpPr txBox="1"/>
        </xdr:nvSpPr>
        <xdr:spPr>
          <a:xfrm>
            <a:off x="5166157" y="2493668"/>
            <a:ext cx="25833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4" name="MMC_R45_C02"/>
          <xdr:cNvSpPr txBox="1"/>
        </xdr:nvSpPr>
        <xdr:spPr>
          <a:xfrm>
            <a:off x="5352445" y="2493668"/>
            <a:ext cx="434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5" name="MMC_R4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6" name="MMC_R4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7" name="MMC_R4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8" name="MMC_R4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9" name="MMC_R5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0" name="MMC_R5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1" name="MMC_R5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2" name="MMC_R53_C02"/>
          <xdr:cNvSpPr txBox="1"/>
        </xdr:nvSpPr>
        <xdr:spPr>
          <a:xfrm>
            <a:off x="5369693" y="2493668"/>
            <a:ext cx="182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3" name="MMC_R5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4" name="MMC_R55_C02"/>
          <xdr:cNvSpPr txBox="1"/>
        </xdr:nvSpPr>
        <xdr:spPr>
          <a:xfrm>
            <a:off x="5285593" y="2493668"/>
            <a:ext cx="1572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5" name="MMC_R5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6" name="MMC_R5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7" name="MMC_R5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8" name="MMC_R5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9" name="MMC_R6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0" name="MMC_R6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1" name="MMC_R6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2" name="MMC_R6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3" name="MMC_R6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4" name="MMC_R6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5" name="MMC_R6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6" name="MMC_R6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7" name="MMC_R6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8" name="MMC_R6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9" name="MMC_R7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0" name="MMC_R7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1" name="MMC_R7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2" name="MMC_R7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3" name="MMC_R7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4" name="MMC_R7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5" name="MMC_R7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6" name="MMC_R7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7" name="MMC_R7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8" name="MMC_R7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9" name="MMC_R8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0" name="MMC_R8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1" name="MMC_R8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2" name="MMC_R8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3" name="MMC_R8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4" name="MMC_R85_C02"/>
          <xdr:cNvSpPr txBox="1"/>
        </xdr:nvSpPr>
        <xdr:spPr>
          <a:xfrm>
            <a:off x="5323192" y="2493668"/>
            <a:ext cx="986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5" name="MMC_R8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6" name="MMC_R87_C02"/>
          <xdr:cNvSpPr txBox="1"/>
        </xdr:nvSpPr>
        <xdr:spPr>
          <a:xfrm>
            <a:off x="5373159" y="2493668"/>
            <a:ext cx="62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7" name="MMC_R8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8" name="MMC_R8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9" name="MMC_R9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0" name="MMC_R91_C02"/>
          <xdr:cNvSpPr txBox="1"/>
        </xdr:nvSpPr>
        <xdr:spPr>
          <a:xfrm>
            <a:off x="5342909" y="2493668"/>
            <a:ext cx="953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1" name="MMC_R9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2" name="MMC_R9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3" name="MMC_R94_C02"/>
          <xdr:cNvSpPr txBox="1"/>
        </xdr:nvSpPr>
        <xdr:spPr>
          <a:xfrm>
            <a:off x="5361100" y="2493668"/>
            <a:ext cx="348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4" name="MMC_R95_C02"/>
          <xdr:cNvSpPr txBox="1"/>
        </xdr:nvSpPr>
        <xdr:spPr>
          <a:xfrm>
            <a:off x="5356790" y="2493668"/>
            <a:ext cx="431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5" name="MMC_R9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6" name="MMC_R9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7" name="MMC_R9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8" name="MMC_R99_C02"/>
          <xdr:cNvSpPr txBox="1"/>
        </xdr:nvSpPr>
        <xdr:spPr>
          <a:xfrm>
            <a:off x="5373245" y="2493668"/>
            <a:ext cx="40527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70279" name="MMC_R01_C03"/>
          <xdr:cNvSpPr txBox="1"/>
        </xdr:nvSpPr>
        <xdr:spPr>
          <a:xfrm>
            <a:off x="1552943" y="3993914"/>
            <a:ext cx="29389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70280" name="MMC_R02_C03"/>
          <xdr:cNvSpPr txBox="1"/>
        </xdr:nvSpPr>
        <xdr:spPr>
          <a:xfrm>
            <a:off x="2083590" y="3993914"/>
            <a:ext cx="208742" cy="136010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70281" name="MMC_R03_C03"/>
          <xdr:cNvSpPr txBox="1"/>
        </xdr:nvSpPr>
        <xdr:spPr>
          <a:xfrm>
            <a:off x="2292332" y="3993914"/>
            <a:ext cx="13293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2" name="MMC_R04_C03"/>
          <xdr:cNvSpPr txBox="1"/>
        </xdr:nvSpPr>
        <xdr:spPr>
          <a:xfrm>
            <a:off x="1846833" y="3993914"/>
            <a:ext cx="23675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5%</a:t>
            </a:r>
          </a:p>
        </xdr:txBody>
      </xdr:sp>
      <xdr:sp macro="" textlink="">
        <xdr:nvSpPr>
          <xdr:cNvPr id="170283" name="MMC_R05_C03"/>
          <xdr:cNvSpPr txBox="1"/>
        </xdr:nvSpPr>
        <xdr:spPr>
          <a:xfrm>
            <a:off x="3143405" y="3993914"/>
            <a:ext cx="1511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4" name="MMC_R06_C03"/>
          <xdr:cNvSpPr txBox="1"/>
        </xdr:nvSpPr>
        <xdr:spPr>
          <a:xfrm>
            <a:off x="2910363" y="3993914"/>
            <a:ext cx="3880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5" name="MMC_R0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6" name="MMC_R08_C03"/>
          <xdr:cNvSpPr txBox="1"/>
        </xdr:nvSpPr>
        <xdr:spPr>
          <a:xfrm>
            <a:off x="1206500" y="3993914"/>
            <a:ext cx="34644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8%</a:t>
            </a:r>
          </a:p>
        </xdr:txBody>
      </xdr:sp>
      <xdr:sp macro="" textlink="">
        <xdr:nvSpPr>
          <xdr:cNvPr id="170287" name="MMC_R09_C03"/>
          <xdr:cNvSpPr txBox="1"/>
        </xdr:nvSpPr>
        <xdr:spPr>
          <a:xfrm>
            <a:off x="2708704" y="3993914"/>
            <a:ext cx="55895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8" name="MMC_R10_C03"/>
          <xdr:cNvSpPr txBox="1"/>
        </xdr:nvSpPr>
        <xdr:spPr>
          <a:xfrm>
            <a:off x="3192538" y="3993914"/>
            <a:ext cx="75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9" name="MMC_R1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0" name="MMC_R1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1" name="MMC_R13_C03"/>
          <xdr:cNvSpPr txBox="1"/>
        </xdr:nvSpPr>
        <xdr:spPr>
          <a:xfrm>
            <a:off x="3110998" y="3993914"/>
            <a:ext cx="1719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2" name="MMC_R1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3" name="MMC_R15_C03"/>
          <xdr:cNvSpPr txBox="1"/>
        </xdr:nvSpPr>
        <xdr:spPr>
          <a:xfrm>
            <a:off x="2541941" y="3993914"/>
            <a:ext cx="9853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4" name="MMC_R1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5" name="MMC_R1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6" name="MMC_R1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7" name="MMC_R1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8" name="MMC_R20_C03"/>
          <xdr:cNvSpPr txBox="1"/>
        </xdr:nvSpPr>
        <xdr:spPr>
          <a:xfrm>
            <a:off x="3188153" y="3993914"/>
            <a:ext cx="226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9" name="MMC_R2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0" name="MMC_R2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1" name="MMC_R23_C03"/>
          <xdr:cNvSpPr txBox="1"/>
        </xdr:nvSpPr>
        <xdr:spPr>
          <a:xfrm>
            <a:off x="2814147" y="3993914"/>
            <a:ext cx="4913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2" name="MMC_R2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3" name="MMC_R2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4" name="MMC_R26_C03"/>
          <xdr:cNvSpPr txBox="1"/>
        </xdr:nvSpPr>
        <xdr:spPr>
          <a:xfrm>
            <a:off x="3066960" y="3993914"/>
            <a:ext cx="2301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5" name="MMC_R27_C03"/>
          <xdr:cNvSpPr txBox="1"/>
        </xdr:nvSpPr>
        <xdr:spPr>
          <a:xfrm>
            <a:off x="2425268" y="3993914"/>
            <a:ext cx="11667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6" name="MMC_R2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7" name="MMC_R2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8" name="MMC_R3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9" name="MMC_R3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0" name="MMC_R3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1" name="MMC_R3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2" name="MMC_R3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3" name="MMC_R3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4" name="MMC_R3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5" name="MMC_R3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6" name="MMC_R38_C03"/>
          <xdr:cNvSpPr txBox="1"/>
        </xdr:nvSpPr>
        <xdr:spPr>
          <a:xfrm>
            <a:off x="3158522" y="3993914"/>
            <a:ext cx="1099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7" name="MMC_R39_C03"/>
          <xdr:cNvSpPr txBox="1"/>
        </xdr:nvSpPr>
        <xdr:spPr>
          <a:xfrm>
            <a:off x="3043097" y="3993914"/>
            <a:ext cx="2386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8" name="MMC_R40_C03"/>
          <xdr:cNvSpPr txBox="1"/>
        </xdr:nvSpPr>
        <xdr:spPr>
          <a:xfrm>
            <a:off x="3190417" y="3993914"/>
            <a:ext cx="212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9" name="MMC_R4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0" name="MMC_R4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1" name="MMC_R4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2" name="MMC_R4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3" name="MMC_R45_C03"/>
          <xdr:cNvSpPr txBox="1"/>
        </xdr:nvSpPr>
        <xdr:spPr>
          <a:xfrm>
            <a:off x="3178810" y="3993914"/>
            <a:ext cx="571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4" name="MMC_R4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5" name="MMC_R4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6" name="MMC_R4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7" name="MMC_R49_C03"/>
          <xdr:cNvSpPr txBox="1"/>
        </xdr:nvSpPr>
        <xdr:spPr>
          <a:xfrm>
            <a:off x="3089972" y="3993914"/>
            <a:ext cx="2102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8" name="MMC_R5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9" name="MMC_R5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0" name="MMC_R52_C03"/>
          <xdr:cNvSpPr txBox="1"/>
        </xdr:nvSpPr>
        <xdr:spPr>
          <a:xfrm>
            <a:off x="3016540" y="3993914"/>
            <a:ext cx="2655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1" name="MMC_R53_C03"/>
          <xdr:cNvSpPr txBox="1"/>
        </xdr:nvSpPr>
        <xdr:spPr>
          <a:xfrm>
            <a:off x="2640478" y="3993914"/>
            <a:ext cx="6822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2" name="MMC_R5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3" name="MMC_R55_C03"/>
          <xdr:cNvSpPr txBox="1"/>
        </xdr:nvSpPr>
        <xdr:spPr>
          <a:xfrm>
            <a:off x="2863284" y="3993914"/>
            <a:ext cx="47079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4" name="MMC_R5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5" name="MMC_R5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6" name="MMC_R58_C03"/>
          <xdr:cNvSpPr txBox="1"/>
        </xdr:nvSpPr>
        <xdr:spPr>
          <a:xfrm>
            <a:off x="3169516" y="3993914"/>
            <a:ext cx="929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7" name="MMC_R5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8" name="MMC_R6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9" name="MMC_R6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0" name="MMC_R6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1" name="MMC_R6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2" name="MMC_R64_C03"/>
          <xdr:cNvSpPr txBox="1"/>
        </xdr:nvSpPr>
        <xdr:spPr>
          <a:xfrm>
            <a:off x="2764599" y="3993914"/>
            <a:ext cx="49548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3" name="MMC_R6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4" name="MMC_R6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5" name="MMC_R6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6" name="MMC_R6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7" name="MMC_R6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8" name="MMC_R7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9" name="MMC_R71_C03"/>
          <xdr:cNvSpPr txBox="1"/>
        </xdr:nvSpPr>
        <xdr:spPr>
          <a:xfrm>
            <a:off x="2949166" y="3993914"/>
            <a:ext cx="3598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0" name="MMC_R7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1" name="MMC_R73_C03"/>
          <xdr:cNvSpPr txBox="1"/>
        </xdr:nvSpPr>
        <xdr:spPr>
          <a:xfrm>
            <a:off x="2985147" y="3993914"/>
            <a:ext cx="3139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2" name="MMC_R7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3" name="MMC_R7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4" name="MMC_R7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5" name="MMC_R7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6" name="MMC_R7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7" name="MMC_R7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8" name="MMC_R8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9" name="MMC_R8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0" name="MMC_R8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1" name="MMC_R8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2" name="MMC_R8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3" name="MMC_R8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4" name="MMC_R8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5" name="MMC_R87_C03"/>
          <xdr:cNvSpPr txBox="1"/>
        </xdr:nvSpPr>
        <xdr:spPr>
          <a:xfrm>
            <a:off x="3128194" y="3993914"/>
            <a:ext cx="1521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6" name="MMC_R8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7" name="MMC_R8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8" name="MMC_R9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9" name="MMC_R9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0" name="MMC_R9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1" name="MMC_R9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2" name="MMC_R94_C03"/>
          <xdr:cNvSpPr txBox="1"/>
        </xdr:nvSpPr>
        <xdr:spPr>
          <a:xfrm>
            <a:off x="3184521" y="3993914"/>
            <a:ext cx="363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3" name="MMC_R9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4" name="MMC_R9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5" name="MMC_R9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6" name="MMC_R9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7" name="MMC_R99_C03"/>
          <xdr:cNvSpPr txBox="1"/>
        </xdr:nvSpPr>
        <xdr:spPr>
          <a:xfrm>
            <a:off x="3193319" y="3993914"/>
            <a:ext cx="2585208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57%</a:t>
            </a:r>
          </a:p>
        </xdr:txBody>
      </xdr:sp>
      <xdr:sp macro="" textlink="">
        <xdr:nvSpPr>
          <xdr:cNvPr id="170378" name="MMC_R01_C04"/>
          <xdr:cNvSpPr txBox="1"/>
        </xdr:nvSpPr>
        <xdr:spPr>
          <a:xfrm>
            <a:off x="2022356" y="5354014"/>
            <a:ext cx="55012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12%</a:t>
            </a:r>
          </a:p>
        </xdr:txBody>
      </xdr:sp>
      <xdr:sp macro="" textlink="">
        <xdr:nvSpPr>
          <xdr:cNvPr id="170379" name="MMC_R02_C04"/>
          <xdr:cNvSpPr txBox="1"/>
        </xdr:nvSpPr>
        <xdr:spPr>
          <a:xfrm>
            <a:off x="3830210" y="5354014"/>
            <a:ext cx="242899" cy="128326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70380" name="MMC_R03_C04"/>
          <xdr:cNvSpPr txBox="1"/>
        </xdr:nvSpPr>
        <xdr:spPr>
          <a:xfrm>
            <a:off x="1206500" y="5354014"/>
            <a:ext cx="81585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18%</a:t>
            </a:r>
          </a:p>
        </xdr:txBody>
      </xdr:sp>
      <xdr:sp macro="" textlink="">
        <xdr:nvSpPr>
          <xdr:cNvPr id="170381" name="MMC_R04_C04"/>
          <xdr:cNvSpPr txBox="1"/>
        </xdr:nvSpPr>
        <xdr:spPr>
          <a:xfrm>
            <a:off x="3106562" y="5354014"/>
            <a:ext cx="47061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10%</a:t>
            </a:r>
          </a:p>
        </xdr:txBody>
      </xdr:sp>
      <xdr:sp macro="" textlink="">
        <xdr:nvSpPr>
          <xdr:cNvPr id="170382" name="MMC_R0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3" name="MMC_R06_C04"/>
          <xdr:cNvSpPr txBox="1"/>
        </xdr:nvSpPr>
        <xdr:spPr>
          <a:xfrm>
            <a:off x="3577173" y="5354014"/>
            <a:ext cx="25303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6%</a:t>
            </a:r>
          </a:p>
        </xdr:txBody>
      </xdr:sp>
      <xdr:sp macro="" textlink="">
        <xdr:nvSpPr>
          <xdr:cNvPr id="170384" name="MMC_R0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5" name="MMC_R08_C04"/>
          <xdr:cNvSpPr txBox="1"/>
        </xdr:nvSpPr>
        <xdr:spPr>
          <a:xfrm>
            <a:off x="4991659" y="5354014"/>
            <a:ext cx="6661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6" name="MMC_R0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7" name="MMC_R10_C04"/>
          <xdr:cNvSpPr txBox="1"/>
        </xdr:nvSpPr>
        <xdr:spPr>
          <a:xfrm>
            <a:off x="5122164" y="5354014"/>
            <a:ext cx="26004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8" name="MMC_R1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9" name="MMC_R12_C04"/>
          <xdr:cNvSpPr txBox="1"/>
        </xdr:nvSpPr>
        <xdr:spPr>
          <a:xfrm>
            <a:off x="2572476" y="5354014"/>
            <a:ext cx="53408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Endress+Hauser 12%</a:t>
            </a:r>
          </a:p>
        </xdr:txBody>
      </xdr:sp>
      <xdr:sp macro="" textlink="">
        <xdr:nvSpPr>
          <xdr:cNvPr id="170390" name="MMC_R13_C04"/>
          <xdr:cNvSpPr txBox="1"/>
        </xdr:nvSpPr>
        <xdr:spPr>
          <a:xfrm>
            <a:off x="5095429" y="5354014"/>
            <a:ext cx="26735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1" name="MMC_R14_C04"/>
          <xdr:cNvSpPr txBox="1"/>
        </xdr:nvSpPr>
        <xdr:spPr>
          <a:xfrm>
            <a:off x="4073109" y="5354014"/>
            <a:ext cx="19963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4%</a:t>
            </a:r>
          </a:p>
        </xdr:txBody>
      </xdr:sp>
      <xdr:sp macro="" textlink="">
        <xdr:nvSpPr>
          <xdr:cNvPr id="170392" name="MMC_R1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3" name="MMC_R1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4" name="MMC_R1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5" name="MMC_R18_C04"/>
          <xdr:cNvSpPr txBox="1"/>
        </xdr:nvSpPr>
        <xdr:spPr>
          <a:xfrm>
            <a:off x="4818142" y="5354014"/>
            <a:ext cx="10364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6" name="MMC_R1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7" name="MMC_R2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8" name="MMC_R21_C04"/>
          <xdr:cNvSpPr txBox="1"/>
        </xdr:nvSpPr>
        <xdr:spPr>
          <a:xfrm>
            <a:off x="4429238" y="5354014"/>
            <a:ext cx="14200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Fuji Electric 3%</a:t>
            </a:r>
          </a:p>
        </xdr:txBody>
      </xdr:sp>
      <xdr:sp macro="" textlink="">
        <xdr:nvSpPr>
          <xdr:cNvPr id="170399" name="MMC_R2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0" name="MMC_R2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1" name="MMC_R24_C04"/>
          <xdr:cNvSpPr txBox="1"/>
        </xdr:nvSpPr>
        <xdr:spPr>
          <a:xfrm>
            <a:off x="4571240" y="5354014"/>
            <a:ext cx="12788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2" name="MMC_R25_C04"/>
          <xdr:cNvSpPr txBox="1"/>
        </xdr:nvSpPr>
        <xdr:spPr>
          <a:xfrm>
            <a:off x="4272741" y="5354014"/>
            <a:ext cx="15649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Advantech 3%</a:t>
            </a:r>
          </a:p>
        </xdr:txBody>
      </xdr:sp>
      <xdr:sp macro="" textlink="">
        <xdr:nvSpPr>
          <xdr:cNvPr id="170403" name="MMC_R2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4" name="MMC_R2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5" name="MMC_R2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6" name="MMC_R2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7" name="MMC_R3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8" name="MMC_R3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9" name="MMC_R3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0" name="MMC_R33_C04"/>
          <xdr:cNvSpPr txBox="1"/>
        </xdr:nvSpPr>
        <xdr:spPr>
          <a:xfrm>
            <a:off x="4921788" y="5354014"/>
            <a:ext cx="6987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1" name="MMC_R3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2" name="MMC_R3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3" name="MMC_R3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4" name="MMC_R3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5" name="MMC_R3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6" name="MMC_R3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7" name="MMC_R40_C04"/>
          <xdr:cNvSpPr txBox="1"/>
        </xdr:nvSpPr>
        <xdr:spPr>
          <a:xfrm>
            <a:off x="4699122" y="5354014"/>
            <a:ext cx="11902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8" name="MMC_R4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9" name="MMC_R4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0" name="MMC_R43_C04"/>
          <xdr:cNvSpPr txBox="1"/>
        </xdr:nvSpPr>
        <xdr:spPr>
          <a:xfrm>
            <a:off x="5058270" y="5354014"/>
            <a:ext cx="37159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1" name="MMC_R4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2" name="MMC_R4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3" name="MMC_R46_C04"/>
          <xdr:cNvSpPr txBox="1"/>
        </xdr:nvSpPr>
        <xdr:spPr>
          <a:xfrm>
            <a:off x="5148168" y="5354014"/>
            <a:ext cx="920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4" name="MMC_R4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5" name="MMC_R4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6" name="MMC_R4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7" name="MMC_R5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8" name="MMC_R5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9" name="MMC_R5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0" name="MMC_R5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1" name="MMC_R5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2" name="MMC_R5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3" name="MMC_R5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4" name="MMC_R5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5" name="MMC_R5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6" name="MMC_R5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7" name="MMC_R6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8" name="MMC_R6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9" name="MMC_R62_C04"/>
          <xdr:cNvSpPr txBox="1"/>
        </xdr:nvSpPr>
        <xdr:spPr>
          <a:xfrm>
            <a:off x="5157375" y="5354014"/>
            <a:ext cx="270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0" name="MMC_R6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1" name="MMC_R6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2" name="MMC_R6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3" name="MMC_R6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4" name="MMC_R6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5" name="MMC_R6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6" name="MMC_R6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7" name="MMC_R7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8" name="MMC_R7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9" name="MMC_R7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0" name="MMC_R7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1" name="MMC_R7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2" name="MMC_R7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3" name="MMC_R7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4" name="MMC_R7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5" name="MMC_R7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6" name="MMC_R7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7" name="MMC_R8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8" name="MMC_R8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9" name="MMC_R8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0" name="MMC_R8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1" name="MMC_R8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2" name="MMC_R8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3" name="MMC_R8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4" name="MMC_R8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5" name="MMC_R8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6" name="MMC_R8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7" name="MMC_R9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8" name="MMC_R9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9" name="MMC_R9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0" name="MMC_R9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1" name="MMC_R9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2" name="MMC_R9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3" name="MMC_R9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4" name="MMC_R9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5" name="MMC_R9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6" name="MMC_R99_C04"/>
          <xdr:cNvSpPr txBox="1"/>
        </xdr:nvSpPr>
        <xdr:spPr>
          <a:xfrm>
            <a:off x="5160109" y="5354014"/>
            <a:ext cx="618424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14%</a:t>
            </a:r>
          </a:p>
        </xdr:txBody>
      </xdr:sp>
      <xdr:sp macro="" textlink="">
        <xdr:nvSpPr>
          <xdr:cNvPr id="170477" name="MMC_R01_C05"/>
          <xdr:cNvSpPr txBox="1"/>
        </xdr:nvSpPr>
        <xdr:spPr>
          <a:xfrm>
            <a:off x="2036311" y="6637282"/>
            <a:ext cx="823019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18%</a:t>
            </a:r>
          </a:p>
        </xdr:txBody>
      </xdr:sp>
      <xdr:sp macro="" textlink="">
        <xdr:nvSpPr>
          <xdr:cNvPr id="170478" name="MMC_R02_C05"/>
          <xdr:cNvSpPr txBox="1"/>
        </xdr:nvSpPr>
        <xdr:spPr>
          <a:xfrm>
            <a:off x="1206500" y="6637282"/>
            <a:ext cx="829811" cy="1137891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70479" name="MMC_R03_C05"/>
          <xdr:cNvSpPr txBox="1"/>
        </xdr:nvSpPr>
        <xdr:spPr>
          <a:xfrm>
            <a:off x="2859330" y="6637282"/>
            <a:ext cx="648911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14%</a:t>
            </a:r>
          </a:p>
        </xdr:txBody>
      </xdr:sp>
      <xdr:sp macro="" textlink="">
        <xdr:nvSpPr>
          <xdr:cNvPr id="170480" name="MMC_R04_C05"/>
          <xdr:cNvSpPr txBox="1"/>
        </xdr:nvSpPr>
        <xdr:spPr>
          <a:xfrm>
            <a:off x="3959841" y="6637282"/>
            <a:ext cx="306443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70481" name="MMC_R0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2" name="MMC_R06_C05"/>
          <xdr:cNvSpPr txBox="1"/>
        </xdr:nvSpPr>
        <xdr:spPr>
          <a:xfrm>
            <a:off x="4531867" y="6637282"/>
            <a:ext cx="19717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4%</a:t>
            </a:r>
          </a:p>
        </xdr:txBody>
      </xdr:sp>
      <xdr:sp macro="" textlink="">
        <xdr:nvSpPr>
          <xdr:cNvPr id="170483" name="MMC_R0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4" name="MMC_R08_C05"/>
          <xdr:cNvSpPr txBox="1"/>
        </xdr:nvSpPr>
        <xdr:spPr>
          <a:xfrm>
            <a:off x="4729039" y="6637282"/>
            <a:ext cx="12063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5" name="MMC_R0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6" name="MMC_R10_C05"/>
          <xdr:cNvSpPr txBox="1"/>
        </xdr:nvSpPr>
        <xdr:spPr>
          <a:xfrm>
            <a:off x="4266284" y="6637282"/>
            <a:ext cx="265583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6%</a:t>
            </a:r>
          </a:p>
        </xdr:txBody>
      </xdr:sp>
      <xdr:sp macro="" textlink="">
        <xdr:nvSpPr>
          <xdr:cNvPr id="170487" name="MMC_R1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8" name="MMC_R1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9" name="MMC_R13_C05"/>
          <xdr:cNvSpPr txBox="1"/>
        </xdr:nvSpPr>
        <xdr:spPr>
          <a:xfrm>
            <a:off x="3508241" y="6637282"/>
            <a:ext cx="45160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Parker Industrial 10%</a:t>
            </a:r>
          </a:p>
        </xdr:txBody>
      </xdr:sp>
      <xdr:sp macro="" textlink="">
        <xdr:nvSpPr>
          <xdr:cNvPr id="170490" name="MMC_R1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1" name="MMC_R1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2" name="MMC_R1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3" name="MMC_R1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4" name="MMC_R18_C05"/>
          <xdr:cNvSpPr txBox="1"/>
        </xdr:nvSpPr>
        <xdr:spPr>
          <a:xfrm>
            <a:off x="4949591" y="6637282"/>
            <a:ext cx="8619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5" name="MMC_R1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6" name="MMC_R2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7" name="MMC_R21_C05"/>
          <xdr:cNvSpPr txBox="1"/>
        </xdr:nvSpPr>
        <xdr:spPr>
          <a:xfrm>
            <a:off x="5162032" y="6637282"/>
            <a:ext cx="3444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8" name="MMC_R2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9" name="MMC_R2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0" name="MMC_R24_C05"/>
          <xdr:cNvSpPr txBox="1"/>
        </xdr:nvSpPr>
        <xdr:spPr>
          <a:xfrm>
            <a:off x="5221323" y="6637282"/>
            <a:ext cx="20776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1" name="MMC_R2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2" name="MMC_R2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3" name="MMC_R27_C05"/>
          <xdr:cNvSpPr txBox="1"/>
        </xdr:nvSpPr>
        <xdr:spPr>
          <a:xfrm>
            <a:off x="5196474" y="6637282"/>
            <a:ext cx="24849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4" name="MMC_R2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5" name="MMC_R2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6" name="MMC_R3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7" name="MMC_R3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8" name="MMC_R3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9" name="MMC_R3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0" name="MMC_R3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1" name="MMC_R3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2" name="MMC_R3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3" name="MMC_R3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4" name="MMC_R3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5" name="MMC_R3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6" name="MMC_R4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7" name="MMC_R4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8" name="MMC_R4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9" name="MMC_R4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0" name="MMC_R4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1" name="MMC_R4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2" name="MMC_R4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3" name="MMC_R47_C05"/>
          <xdr:cNvSpPr txBox="1"/>
        </xdr:nvSpPr>
        <xdr:spPr>
          <a:xfrm>
            <a:off x="4849671" y="6637282"/>
            <a:ext cx="9992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4" name="MMC_R4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5" name="MMC_R4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6" name="MMC_R5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7" name="MMC_R5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8" name="MMC_R5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9" name="MMC_R5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0" name="MMC_R5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1" name="MMC_R5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2" name="MMC_R5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3" name="MMC_R5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4" name="MMC_R5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5" name="MMC_R5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6" name="MMC_R6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7" name="MMC_R6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8" name="MMC_R62_C05"/>
          <xdr:cNvSpPr txBox="1"/>
        </xdr:nvSpPr>
        <xdr:spPr>
          <a:xfrm>
            <a:off x="5035785" y="6637282"/>
            <a:ext cx="48441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9" name="MMC_R6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0" name="MMC_R6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1" name="MMC_R6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2" name="MMC_R6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3" name="MMC_R6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4" name="MMC_R6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5" name="MMC_R6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6" name="MMC_R70_C05"/>
          <xdr:cNvSpPr txBox="1"/>
        </xdr:nvSpPr>
        <xdr:spPr>
          <a:xfrm>
            <a:off x="5084226" y="6637282"/>
            <a:ext cx="4322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7" name="MMC_R7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8" name="MMC_R7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9" name="MMC_R7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0" name="MMC_R7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1" name="MMC_R7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2" name="MMC_R7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3" name="MMC_R77_C05"/>
          <xdr:cNvSpPr txBox="1"/>
        </xdr:nvSpPr>
        <xdr:spPr>
          <a:xfrm>
            <a:off x="5127448" y="6637282"/>
            <a:ext cx="3458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4" name="MMC_R7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5" name="MMC_R7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6" name="MMC_R8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7" name="MMC_R8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8" name="MMC_R8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9" name="MMC_R8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0" name="MMC_R8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1" name="MMC_R8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2" name="MMC_R8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3" name="MMC_R8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4" name="MMC_R8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5" name="MMC_R8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6" name="MMC_R90_C05"/>
          <xdr:cNvSpPr txBox="1"/>
        </xdr:nvSpPr>
        <xdr:spPr>
          <a:xfrm>
            <a:off x="5242099" y="6637282"/>
            <a:ext cx="1377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7" name="MMC_R9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8" name="MMC_R9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9" name="MMC_R9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0" name="MMC_R9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1" name="MMC_R9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2" name="MMC_R9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3" name="MMC_R9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4" name="MMC_R9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5" name="MMC_R99_C05"/>
          <xdr:cNvSpPr txBox="1"/>
        </xdr:nvSpPr>
        <xdr:spPr>
          <a:xfrm>
            <a:off x="5255913" y="6637282"/>
            <a:ext cx="522625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11%</a:t>
            </a:r>
          </a:p>
        </xdr:txBody>
      </xdr:sp>
      <xdr:sp macro="" textlink="">
        <xdr:nvSpPr>
          <xdr:cNvPr id="170576" name="MMC_R01_C06"/>
          <xdr:cNvSpPr txBox="1"/>
        </xdr:nvSpPr>
        <xdr:spPr>
          <a:xfrm>
            <a:off x="2054634" y="7775173"/>
            <a:ext cx="400859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9%</a:t>
            </a:r>
          </a:p>
        </xdr:txBody>
      </xdr:sp>
      <xdr:sp macro="" textlink="">
        <xdr:nvSpPr>
          <xdr:cNvPr id="170577" name="MMC_R02_C06"/>
          <xdr:cNvSpPr txBox="1"/>
        </xdr:nvSpPr>
        <xdr:spPr>
          <a:xfrm>
            <a:off x="3547182" y="7775173"/>
            <a:ext cx="169480" cy="84450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4%</a:t>
            </a:r>
          </a:p>
        </xdr:txBody>
      </xdr:sp>
      <xdr:sp macro="" textlink="">
        <xdr:nvSpPr>
          <xdr:cNvPr id="170578" name="MMC_R03_C06"/>
          <xdr:cNvSpPr txBox="1"/>
        </xdr:nvSpPr>
        <xdr:spPr>
          <a:xfrm>
            <a:off x="4919217" y="7775173"/>
            <a:ext cx="2317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9" name="MMC_R04_C06"/>
          <xdr:cNvSpPr txBox="1"/>
        </xdr:nvSpPr>
        <xdr:spPr>
          <a:xfrm>
            <a:off x="2455493" y="7775173"/>
            <a:ext cx="368048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8%</a:t>
            </a:r>
          </a:p>
        </xdr:txBody>
      </xdr:sp>
      <xdr:sp macro="" textlink="">
        <xdr:nvSpPr>
          <xdr:cNvPr id="170580" name="MMC_R05_C06"/>
          <xdr:cNvSpPr txBox="1"/>
        </xdr:nvSpPr>
        <xdr:spPr>
          <a:xfrm>
            <a:off x="4220871" y="7775173"/>
            <a:ext cx="9774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1" name="MMC_R06_C06"/>
          <xdr:cNvSpPr txBox="1"/>
        </xdr:nvSpPr>
        <xdr:spPr>
          <a:xfrm>
            <a:off x="1206500" y="7775173"/>
            <a:ext cx="44086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70582" name="MMC_R07_C06"/>
          <xdr:cNvSpPr txBox="1"/>
        </xdr:nvSpPr>
        <xdr:spPr>
          <a:xfrm>
            <a:off x="498488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3" name="MMC_R08_C06"/>
          <xdr:cNvSpPr txBox="1"/>
        </xdr:nvSpPr>
        <xdr:spPr>
          <a:xfrm>
            <a:off x="4491501" y="7775173"/>
            <a:ext cx="7939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4" name="MMC_R09_C06"/>
          <xdr:cNvSpPr txBox="1"/>
        </xdr:nvSpPr>
        <xdr:spPr>
          <a:xfrm>
            <a:off x="498486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5" name="MMC_R10_C06"/>
          <xdr:cNvSpPr txBox="1"/>
        </xdr:nvSpPr>
        <xdr:spPr>
          <a:xfrm>
            <a:off x="4982102" y="7775173"/>
            <a:ext cx="2746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6" name="MMC_R11_C06"/>
          <xdr:cNvSpPr txBox="1"/>
        </xdr:nvSpPr>
        <xdr:spPr>
          <a:xfrm>
            <a:off x="4570894" y="7775173"/>
            <a:ext cx="7879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7" name="MMC_R12_C06"/>
          <xdr:cNvSpPr txBox="1"/>
        </xdr:nvSpPr>
        <xdr:spPr>
          <a:xfrm>
            <a:off x="498487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8" name="MMC_R13_C06"/>
          <xdr:cNvSpPr txBox="1"/>
        </xdr:nvSpPr>
        <xdr:spPr>
          <a:xfrm>
            <a:off x="498488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9" name="MMC_R14_C06"/>
          <xdr:cNvSpPr txBox="1"/>
        </xdr:nvSpPr>
        <xdr:spPr>
          <a:xfrm>
            <a:off x="1647360" y="7775173"/>
            <a:ext cx="40727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9%</a:t>
            </a:r>
          </a:p>
        </xdr:txBody>
      </xdr:sp>
      <xdr:sp macro="" textlink="">
        <xdr:nvSpPr>
          <xdr:cNvPr id="170590" name="MMC_R15_C06"/>
          <xdr:cNvSpPr txBox="1"/>
        </xdr:nvSpPr>
        <xdr:spPr>
          <a:xfrm>
            <a:off x="498485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1" name="MMC_R16_C06"/>
          <xdr:cNvSpPr txBox="1"/>
        </xdr:nvSpPr>
        <xdr:spPr>
          <a:xfrm>
            <a:off x="498485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2" name="MMC_R17_C06"/>
          <xdr:cNvSpPr txBox="1"/>
        </xdr:nvSpPr>
        <xdr:spPr>
          <a:xfrm>
            <a:off x="498485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3" name="MMC_R18_C06"/>
          <xdr:cNvSpPr txBox="1"/>
        </xdr:nvSpPr>
        <xdr:spPr>
          <a:xfrm>
            <a:off x="498485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4" name="MMC_R19_C06"/>
          <xdr:cNvSpPr txBox="1"/>
        </xdr:nvSpPr>
        <xdr:spPr>
          <a:xfrm>
            <a:off x="498486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5" name="MMC_R20_C06"/>
          <xdr:cNvSpPr txBox="1"/>
        </xdr:nvSpPr>
        <xdr:spPr>
          <a:xfrm>
            <a:off x="2823541" y="7775173"/>
            <a:ext cx="29310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Delta Electronics 6%</a:t>
            </a:r>
          </a:p>
        </xdr:txBody>
      </xdr:sp>
      <xdr:sp macro="" textlink="">
        <xdr:nvSpPr>
          <xdr:cNvPr id="170596" name="MMC_R21_C06"/>
          <xdr:cNvSpPr txBox="1"/>
        </xdr:nvSpPr>
        <xdr:spPr>
          <a:xfrm>
            <a:off x="498487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7" name="MMC_R22_C06"/>
          <xdr:cNvSpPr txBox="1"/>
        </xdr:nvSpPr>
        <xdr:spPr>
          <a:xfrm>
            <a:off x="498487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8" name="MMC_R23_C06"/>
          <xdr:cNvSpPr txBox="1"/>
        </xdr:nvSpPr>
        <xdr:spPr>
          <a:xfrm>
            <a:off x="3116648" y="7775173"/>
            <a:ext cx="23856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Haas 5%</a:t>
            </a:r>
          </a:p>
        </xdr:txBody>
      </xdr:sp>
      <xdr:sp macro="" textlink="">
        <xdr:nvSpPr>
          <xdr:cNvPr id="170599" name="MMC_R24_C06"/>
          <xdr:cNvSpPr txBox="1"/>
        </xdr:nvSpPr>
        <xdr:spPr>
          <a:xfrm>
            <a:off x="4857336" y="7775173"/>
            <a:ext cx="3288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0" name="MMC_R25_C06"/>
          <xdr:cNvSpPr txBox="1"/>
        </xdr:nvSpPr>
        <xdr:spPr>
          <a:xfrm>
            <a:off x="4818802" y="7775173"/>
            <a:ext cx="3853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1" name="MMC_R26_C06"/>
          <xdr:cNvSpPr txBox="1"/>
        </xdr:nvSpPr>
        <xdr:spPr>
          <a:xfrm>
            <a:off x="498488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2" name="MMC_R27_C06"/>
          <xdr:cNvSpPr txBox="1"/>
        </xdr:nvSpPr>
        <xdr:spPr>
          <a:xfrm>
            <a:off x="498488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3" name="MMC_R28_C06"/>
          <xdr:cNvSpPr txBox="1"/>
        </xdr:nvSpPr>
        <xdr:spPr>
          <a:xfrm>
            <a:off x="498484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4" name="MMC_R29_C06"/>
          <xdr:cNvSpPr txBox="1"/>
        </xdr:nvSpPr>
        <xdr:spPr>
          <a:xfrm>
            <a:off x="498484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5" name="MMC_R30_C06"/>
          <xdr:cNvSpPr txBox="1"/>
        </xdr:nvSpPr>
        <xdr:spPr>
          <a:xfrm>
            <a:off x="498485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6" name="MMC_R31_C06"/>
          <xdr:cNvSpPr txBox="1"/>
        </xdr:nvSpPr>
        <xdr:spPr>
          <a:xfrm>
            <a:off x="3355210" y="7775173"/>
            <a:ext cx="19197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4%</a:t>
            </a:r>
          </a:p>
        </xdr:txBody>
      </xdr:sp>
      <xdr:sp macro="" textlink="">
        <xdr:nvSpPr>
          <xdr:cNvPr id="170607" name="MMC_R32_C06"/>
          <xdr:cNvSpPr txBox="1"/>
        </xdr:nvSpPr>
        <xdr:spPr>
          <a:xfrm>
            <a:off x="498485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8" name="MMC_R33_C06"/>
          <xdr:cNvSpPr txBox="1"/>
        </xdr:nvSpPr>
        <xdr:spPr>
          <a:xfrm>
            <a:off x="3716662" y="7775173"/>
            <a:ext cx="15263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Baumer 3%</a:t>
            </a:r>
          </a:p>
        </xdr:txBody>
      </xdr:sp>
      <xdr:sp macro="" textlink="">
        <xdr:nvSpPr>
          <xdr:cNvPr id="170609" name="MMC_R34_C06"/>
          <xdr:cNvSpPr txBox="1"/>
        </xdr:nvSpPr>
        <xdr:spPr>
          <a:xfrm>
            <a:off x="498485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0" name="MMC_R35_C06"/>
          <xdr:cNvSpPr txBox="1"/>
        </xdr:nvSpPr>
        <xdr:spPr>
          <a:xfrm>
            <a:off x="4649691" y="7775173"/>
            <a:ext cx="6591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1" name="MMC_R36_C06"/>
          <xdr:cNvSpPr txBox="1"/>
        </xdr:nvSpPr>
        <xdr:spPr>
          <a:xfrm>
            <a:off x="498485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2" name="MMC_R37_C06"/>
          <xdr:cNvSpPr txBox="1"/>
        </xdr:nvSpPr>
        <xdr:spPr>
          <a:xfrm>
            <a:off x="498485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3" name="MMC_R38_C06"/>
          <xdr:cNvSpPr txBox="1"/>
        </xdr:nvSpPr>
        <xdr:spPr>
          <a:xfrm>
            <a:off x="4779124" y="7775173"/>
            <a:ext cx="39678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4" name="MMC_R39_C06"/>
          <xdr:cNvSpPr txBox="1"/>
        </xdr:nvSpPr>
        <xdr:spPr>
          <a:xfrm>
            <a:off x="498485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5" name="MMC_R40_C06"/>
          <xdr:cNvSpPr txBox="1"/>
        </xdr:nvSpPr>
        <xdr:spPr>
          <a:xfrm>
            <a:off x="4890217" y="7775173"/>
            <a:ext cx="2900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6" name="MMC_R41_C06"/>
          <xdr:cNvSpPr txBox="1"/>
        </xdr:nvSpPr>
        <xdr:spPr>
          <a:xfrm>
            <a:off x="498486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7" name="MMC_R42_C06"/>
          <xdr:cNvSpPr txBox="1"/>
        </xdr:nvSpPr>
        <xdr:spPr>
          <a:xfrm>
            <a:off x="498486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8" name="MMC_R43_C06"/>
          <xdr:cNvSpPr txBox="1"/>
        </xdr:nvSpPr>
        <xdr:spPr>
          <a:xfrm>
            <a:off x="3869294" y="7775173"/>
            <a:ext cx="12685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9" name="MMC_R44_C06"/>
          <xdr:cNvSpPr txBox="1"/>
        </xdr:nvSpPr>
        <xdr:spPr>
          <a:xfrm>
            <a:off x="498486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0" name="MMC_R45_C06"/>
          <xdr:cNvSpPr txBox="1"/>
        </xdr:nvSpPr>
        <xdr:spPr>
          <a:xfrm>
            <a:off x="498486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1" name="MMC_R46_C06"/>
          <xdr:cNvSpPr txBox="1"/>
        </xdr:nvSpPr>
        <xdr:spPr>
          <a:xfrm>
            <a:off x="498486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2" name="MMC_R47_C06"/>
          <xdr:cNvSpPr txBox="1"/>
        </xdr:nvSpPr>
        <xdr:spPr>
          <a:xfrm>
            <a:off x="498486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3" name="MMC_R48_C06"/>
          <xdr:cNvSpPr txBox="1"/>
        </xdr:nvSpPr>
        <xdr:spPr>
          <a:xfrm>
            <a:off x="498486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4" name="MMC_R49_C06"/>
          <xdr:cNvSpPr txBox="1"/>
        </xdr:nvSpPr>
        <xdr:spPr>
          <a:xfrm>
            <a:off x="498486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5" name="MMC_R50_C06"/>
          <xdr:cNvSpPr txBox="1"/>
        </xdr:nvSpPr>
        <xdr:spPr>
          <a:xfrm>
            <a:off x="3996147" y="7775173"/>
            <a:ext cx="12218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6" name="MMC_R51_C06"/>
          <xdr:cNvSpPr txBox="1"/>
        </xdr:nvSpPr>
        <xdr:spPr>
          <a:xfrm>
            <a:off x="4942388" y="7775173"/>
            <a:ext cx="2224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7" name="MMC_R52_C06"/>
          <xdr:cNvSpPr txBox="1"/>
        </xdr:nvSpPr>
        <xdr:spPr>
          <a:xfrm>
            <a:off x="498487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8" name="MMC_R53_C06"/>
          <xdr:cNvSpPr txBox="1"/>
        </xdr:nvSpPr>
        <xdr:spPr>
          <a:xfrm>
            <a:off x="498487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9" name="MMC_R54_C06"/>
          <xdr:cNvSpPr txBox="1"/>
        </xdr:nvSpPr>
        <xdr:spPr>
          <a:xfrm>
            <a:off x="498487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0" name="MMC_R55_C06"/>
          <xdr:cNvSpPr txBox="1"/>
        </xdr:nvSpPr>
        <xdr:spPr>
          <a:xfrm>
            <a:off x="498487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1" name="MMC_R56_C06"/>
          <xdr:cNvSpPr txBox="1"/>
        </xdr:nvSpPr>
        <xdr:spPr>
          <a:xfrm>
            <a:off x="498487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2" name="MMC_R57_C06"/>
          <xdr:cNvSpPr txBox="1"/>
        </xdr:nvSpPr>
        <xdr:spPr>
          <a:xfrm>
            <a:off x="4118328" y="7775173"/>
            <a:ext cx="10254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3" name="MMC_R58_C06"/>
          <xdr:cNvSpPr txBox="1"/>
        </xdr:nvSpPr>
        <xdr:spPr>
          <a:xfrm>
            <a:off x="498487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4" name="MMC_R59_C06"/>
          <xdr:cNvSpPr txBox="1"/>
        </xdr:nvSpPr>
        <xdr:spPr>
          <a:xfrm>
            <a:off x="498487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5" name="MMC_R60_C06"/>
          <xdr:cNvSpPr txBox="1"/>
        </xdr:nvSpPr>
        <xdr:spPr>
          <a:xfrm>
            <a:off x="498488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6" name="MMC_R61_C06"/>
          <xdr:cNvSpPr txBox="1"/>
        </xdr:nvSpPr>
        <xdr:spPr>
          <a:xfrm>
            <a:off x="4318612" y="7775173"/>
            <a:ext cx="9154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7" name="MMC_R62_C06"/>
          <xdr:cNvSpPr txBox="1"/>
        </xdr:nvSpPr>
        <xdr:spPr>
          <a:xfrm>
            <a:off x="4964628" y="7775173"/>
            <a:ext cx="1747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8" name="MMC_R63_C06"/>
          <xdr:cNvSpPr txBox="1"/>
        </xdr:nvSpPr>
        <xdr:spPr>
          <a:xfrm>
            <a:off x="4410154" y="7775173"/>
            <a:ext cx="8134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9" name="MMC_R64_C06"/>
          <xdr:cNvSpPr txBox="1"/>
        </xdr:nvSpPr>
        <xdr:spPr>
          <a:xfrm>
            <a:off x="498488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0" name="MMC_R65_C06"/>
          <xdr:cNvSpPr txBox="1"/>
        </xdr:nvSpPr>
        <xdr:spPr>
          <a:xfrm>
            <a:off x="498488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1" name="MMC_R66_C06"/>
          <xdr:cNvSpPr txBox="1"/>
        </xdr:nvSpPr>
        <xdr:spPr>
          <a:xfrm>
            <a:off x="498488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2" name="MMC_R67_C06"/>
          <xdr:cNvSpPr txBox="1"/>
        </xdr:nvSpPr>
        <xdr:spPr>
          <a:xfrm>
            <a:off x="498488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3" name="MMC_R68_C06"/>
          <xdr:cNvSpPr txBox="1"/>
        </xdr:nvSpPr>
        <xdr:spPr>
          <a:xfrm>
            <a:off x="498488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4" name="MMC_R69_C06"/>
          <xdr:cNvSpPr txBox="1"/>
        </xdr:nvSpPr>
        <xdr:spPr>
          <a:xfrm>
            <a:off x="4715608" y="7775173"/>
            <a:ext cx="63516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5" name="MMC_R70_C06"/>
          <xdr:cNvSpPr txBox="1"/>
        </xdr:nvSpPr>
        <xdr:spPr>
          <a:xfrm>
            <a:off x="498489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6" name="MMC_R71_C06"/>
          <xdr:cNvSpPr txBox="1"/>
        </xdr:nvSpPr>
        <xdr:spPr>
          <a:xfrm>
            <a:off x="498489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7" name="MMC_R72_C06"/>
          <xdr:cNvSpPr txBox="1"/>
        </xdr:nvSpPr>
        <xdr:spPr>
          <a:xfrm>
            <a:off x="498489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8" name="MMC_R73_C06"/>
          <xdr:cNvSpPr txBox="1"/>
        </xdr:nvSpPr>
        <xdr:spPr>
          <a:xfrm>
            <a:off x="498489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9" name="MMC_R74_C06"/>
          <xdr:cNvSpPr txBox="1"/>
        </xdr:nvSpPr>
        <xdr:spPr>
          <a:xfrm>
            <a:off x="498489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0" name="MMC_R75_C06"/>
          <xdr:cNvSpPr txBox="1"/>
        </xdr:nvSpPr>
        <xdr:spPr>
          <a:xfrm>
            <a:off x="498489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1" name="MMC_R76_C06"/>
          <xdr:cNvSpPr txBox="1"/>
        </xdr:nvSpPr>
        <xdr:spPr>
          <a:xfrm>
            <a:off x="498489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2" name="MMC_R77_C06"/>
          <xdr:cNvSpPr txBox="1"/>
        </xdr:nvSpPr>
        <xdr:spPr>
          <a:xfrm>
            <a:off x="498489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3" name="MMC_R78_C06"/>
          <xdr:cNvSpPr txBox="1"/>
        </xdr:nvSpPr>
        <xdr:spPr>
          <a:xfrm>
            <a:off x="498489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4" name="MMC_R79_C06"/>
          <xdr:cNvSpPr txBox="1"/>
        </xdr:nvSpPr>
        <xdr:spPr>
          <a:xfrm>
            <a:off x="498489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5" name="MMC_R80_C06"/>
          <xdr:cNvSpPr txBox="1"/>
        </xdr:nvSpPr>
        <xdr:spPr>
          <a:xfrm>
            <a:off x="498490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6" name="MMC_R81_C06"/>
          <xdr:cNvSpPr txBox="1"/>
        </xdr:nvSpPr>
        <xdr:spPr>
          <a:xfrm>
            <a:off x="498490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7" name="MMC_R82_C06"/>
          <xdr:cNvSpPr txBox="1"/>
        </xdr:nvSpPr>
        <xdr:spPr>
          <a:xfrm>
            <a:off x="498490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8" name="MMC_R83_C06"/>
          <xdr:cNvSpPr txBox="1"/>
        </xdr:nvSpPr>
        <xdr:spPr>
          <a:xfrm>
            <a:off x="498490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9" name="MMC_R84_C06"/>
          <xdr:cNvSpPr txBox="1"/>
        </xdr:nvSpPr>
        <xdr:spPr>
          <a:xfrm>
            <a:off x="498490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0" name="MMC_R85_C06"/>
          <xdr:cNvSpPr txBox="1"/>
        </xdr:nvSpPr>
        <xdr:spPr>
          <a:xfrm>
            <a:off x="498490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1" name="MMC_R86_C06"/>
          <xdr:cNvSpPr txBox="1"/>
        </xdr:nvSpPr>
        <xdr:spPr>
          <a:xfrm>
            <a:off x="498490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2" name="MMC_R87_C06"/>
          <xdr:cNvSpPr txBox="1"/>
        </xdr:nvSpPr>
        <xdr:spPr>
          <a:xfrm>
            <a:off x="498490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3" name="MMC_R88_C06"/>
          <xdr:cNvSpPr txBox="1"/>
        </xdr:nvSpPr>
        <xdr:spPr>
          <a:xfrm>
            <a:off x="498490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4" name="MMC_R89_C06"/>
          <xdr:cNvSpPr txBox="1"/>
        </xdr:nvSpPr>
        <xdr:spPr>
          <a:xfrm>
            <a:off x="498490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5" name="MMC_R90_C06"/>
          <xdr:cNvSpPr txBox="1"/>
        </xdr:nvSpPr>
        <xdr:spPr>
          <a:xfrm>
            <a:off x="498491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6" name="MMC_R91_C06"/>
          <xdr:cNvSpPr txBox="1"/>
        </xdr:nvSpPr>
        <xdr:spPr>
          <a:xfrm>
            <a:off x="498491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7" name="MMC_R92_C06"/>
          <xdr:cNvSpPr txBox="1"/>
        </xdr:nvSpPr>
        <xdr:spPr>
          <a:xfrm>
            <a:off x="498491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8" name="MMC_R93_C06"/>
          <xdr:cNvSpPr txBox="1"/>
        </xdr:nvSpPr>
        <xdr:spPr>
          <a:xfrm>
            <a:off x="498491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9" name="MMC_R94_C06"/>
          <xdr:cNvSpPr txBox="1"/>
        </xdr:nvSpPr>
        <xdr:spPr>
          <a:xfrm>
            <a:off x="498491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0" name="MMC_R95_C06"/>
          <xdr:cNvSpPr txBox="1"/>
        </xdr:nvSpPr>
        <xdr:spPr>
          <a:xfrm>
            <a:off x="498491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1" name="MMC_R96_C06"/>
          <xdr:cNvSpPr txBox="1"/>
        </xdr:nvSpPr>
        <xdr:spPr>
          <a:xfrm>
            <a:off x="498491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2" name="MMC_R97_C06"/>
          <xdr:cNvSpPr txBox="1"/>
        </xdr:nvSpPr>
        <xdr:spPr>
          <a:xfrm>
            <a:off x="498491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3" name="MMC_R98_C06"/>
          <xdr:cNvSpPr txBox="1"/>
        </xdr:nvSpPr>
        <xdr:spPr>
          <a:xfrm>
            <a:off x="498491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4" name="MMC_R99_C06"/>
          <xdr:cNvSpPr txBox="1"/>
        </xdr:nvSpPr>
        <xdr:spPr>
          <a:xfrm>
            <a:off x="4984895" y="7775173"/>
            <a:ext cx="79365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17%</a:t>
            </a:r>
          </a:p>
        </xdr:txBody>
      </xdr:sp>
      <xdr:sp macro="" textlink="">
        <xdr:nvSpPr>
          <xdr:cNvPr id="170675" name="MMC_R01_C07"/>
          <xdr:cNvSpPr txBox="1"/>
        </xdr:nvSpPr>
        <xdr:spPr>
          <a:xfrm>
            <a:off x="1206500" y="8619673"/>
            <a:ext cx="150235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33%</a:t>
            </a:r>
          </a:p>
        </xdr:txBody>
      </xdr:sp>
      <xdr:sp macro="" textlink="">
        <xdr:nvSpPr>
          <xdr:cNvPr id="170676" name="MMC_R02_C07"/>
          <xdr:cNvSpPr txBox="1"/>
        </xdr:nvSpPr>
        <xdr:spPr>
          <a:xfrm>
            <a:off x="5468789" y="8619673"/>
            <a:ext cx="1" cy="75725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7" name="MMC_R03_C07"/>
          <xdr:cNvSpPr txBox="1"/>
        </xdr:nvSpPr>
        <xdr:spPr>
          <a:xfrm>
            <a:off x="546875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8" name="MMC_R04_C07"/>
          <xdr:cNvSpPr txBox="1"/>
        </xdr:nvSpPr>
        <xdr:spPr>
          <a:xfrm>
            <a:off x="546876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9" name="MMC_R05_C07"/>
          <xdr:cNvSpPr txBox="1"/>
        </xdr:nvSpPr>
        <xdr:spPr>
          <a:xfrm>
            <a:off x="546876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0" name="MMC_R06_C07"/>
          <xdr:cNvSpPr txBox="1"/>
        </xdr:nvSpPr>
        <xdr:spPr>
          <a:xfrm>
            <a:off x="4051332" y="8619673"/>
            <a:ext cx="663033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15%</a:t>
            </a:r>
          </a:p>
        </xdr:txBody>
      </xdr:sp>
      <xdr:sp macro="" textlink="">
        <xdr:nvSpPr>
          <xdr:cNvPr id="170681" name="MMC_R07_C07"/>
          <xdr:cNvSpPr txBox="1"/>
        </xdr:nvSpPr>
        <xdr:spPr>
          <a:xfrm>
            <a:off x="546879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2" name="MMC_R08_C07"/>
          <xdr:cNvSpPr txBox="1"/>
        </xdr:nvSpPr>
        <xdr:spPr>
          <a:xfrm>
            <a:off x="546880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3" name="MMC_R09_C07"/>
          <xdr:cNvSpPr txBox="1"/>
        </xdr:nvSpPr>
        <xdr:spPr>
          <a:xfrm>
            <a:off x="546880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4" name="MMC_R10_C07"/>
          <xdr:cNvSpPr txBox="1"/>
        </xdr:nvSpPr>
        <xdr:spPr>
          <a:xfrm>
            <a:off x="546881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5" name="MMC_R11_C07"/>
          <xdr:cNvSpPr txBox="1"/>
        </xdr:nvSpPr>
        <xdr:spPr>
          <a:xfrm>
            <a:off x="2708851" y="8619673"/>
            <a:ext cx="134248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Beckhoff 29%</a:t>
            </a:r>
          </a:p>
        </xdr:txBody>
      </xdr:sp>
      <xdr:sp macro="" textlink="">
        <xdr:nvSpPr>
          <xdr:cNvPr id="170686" name="MMC_R12_C07"/>
          <xdr:cNvSpPr txBox="1"/>
        </xdr:nvSpPr>
        <xdr:spPr>
          <a:xfrm>
            <a:off x="546875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7" name="MMC_R13_C07"/>
          <xdr:cNvSpPr txBox="1"/>
        </xdr:nvSpPr>
        <xdr:spPr>
          <a:xfrm>
            <a:off x="546875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8" name="MMC_R14_C07"/>
          <xdr:cNvSpPr txBox="1"/>
        </xdr:nvSpPr>
        <xdr:spPr>
          <a:xfrm>
            <a:off x="546875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9" name="MMC_R15_C07"/>
          <xdr:cNvSpPr txBox="1"/>
        </xdr:nvSpPr>
        <xdr:spPr>
          <a:xfrm>
            <a:off x="546875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0" name="MMC_R16_C07"/>
          <xdr:cNvSpPr txBox="1"/>
        </xdr:nvSpPr>
        <xdr:spPr>
          <a:xfrm>
            <a:off x="546875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1" name="MMC_R17_C07"/>
          <xdr:cNvSpPr txBox="1"/>
        </xdr:nvSpPr>
        <xdr:spPr>
          <a:xfrm>
            <a:off x="546875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2" name="MMC_R18_C07"/>
          <xdr:cNvSpPr txBox="1"/>
        </xdr:nvSpPr>
        <xdr:spPr>
          <a:xfrm>
            <a:off x="546875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3" name="MMC_R19_C07"/>
          <xdr:cNvSpPr txBox="1"/>
        </xdr:nvSpPr>
        <xdr:spPr>
          <a:xfrm>
            <a:off x="4714365" y="8619673"/>
            <a:ext cx="14845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3%</a:t>
            </a:r>
          </a:p>
        </xdr:txBody>
      </xdr:sp>
      <xdr:sp macro="" textlink="">
        <xdr:nvSpPr>
          <xdr:cNvPr id="170694" name="MMC_R20_C07"/>
          <xdr:cNvSpPr txBox="1"/>
        </xdr:nvSpPr>
        <xdr:spPr>
          <a:xfrm>
            <a:off x="5009839" y="8619673"/>
            <a:ext cx="13631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5" name="MMC_R21_C07"/>
          <xdr:cNvSpPr txBox="1"/>
        </xdr:nvSpPr>
        <xdr:spPr>
          <a:xfrm>
            <a:off x="546876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6" name="MMC_R22_C07"/>
          <xdr:cNvSpPr txBox="1"/>
        </xdr:nvSpPr>
        <xdr:spPr>
          <a:xfrm>
            <a:off x="546876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7" name="MMC_R23_C07"/>
          <xdr:cNvSpPr txBox="1"/>
        </xdr:nvSpPr>
        <xdr:spPr>
          <a:xfrm>
            <a:off x="546876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8" name="MMC_R24_C07"/>
          <xdr:cNvSpPr txBox="1"/>
        </xdr:nvSpPr>
        <xdr:spPr>
          <a:xfrm>
            <a:off x="546876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9" name="MMC_R25_C07"/>
          <xdr:cNvSpPr txBox="1"/>
        </xdr:nvSpPr>
        <xdr:spPr>
          <a:xfrm>
            <a:off x="546876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0" name="MMC_R26_C07"/>
          <xdr:cNvSpPr txBox="1"/>
        </xdr:nvSpPr>
        <xdr:spPr>
          <a:xfrm>
            <a:off x="546876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1" name="MMC_R27_C07"/>
          <xdr:cNvSpPr txBox="1"/>
        </xdr:nvSpPr>
        <xdr:spPr>
          <a:xfrm>
            <a:off x="546876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2" name="MMC_R28_C07"/>
          <xdr:cNvSpPr txBox="1"/>
        </xdr:nvSpPr>
        <xdr:spPr>
          <a:xfrm>
            <a:off x="546876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3" name="MMC_R29_C07"/>
          <xdr:cNvSpPr txBox="1"/>
        </xdr:nvSpPr>
        <xdr:spPr>
          <a:xfrm>
            <a:off x="546877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4" name="MMC_R30_C07"/>
          <xdr:cNvSpPr txBox="1"/>
        </xdr:nvSpPr>
        <xdr:spPr>
          <a:xfrm>
            <a:off x="546877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5" name="MMC_R31_C07"/>
          <xdr:cNvSpPr txBox="1"/>
        </xdr:nvSpPr>
        <xdr:spPr>
          <a:xfrm>
            <a:off x="546877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6" name="MMC_R32_C07"/>
          <xdr:cNvSpPr txBox="1"/>
        </xdr:nvSpPr>
        <xdr:spPr>
          <a:xfrm>
            <a:off x="546877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7" name="MMC_R33_C07"/>
          <xdr:cNvSpPr txBox="1"/>
        </xdr:nvSpPr>
        <xdr:spPr>
          <a:xfrm>
            <a:off x="546877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8" name="MMC_R34_C07"/>
          <xdr:cNvSpPr txBox="1"/>
        </xdr:nvSpPr>
        <xdr:spPr>
          <a:xfrm>
            <a:off x="546877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9" name="MMC_R35_C07"/>
          <xdr:cNvSpPr txBox="1"/>
        </xdr:nvSpPr>
        <xdr:spPr>
          <a:xfrm>
            <a:off x="546877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0" name="MMC_R36_C07"/>
          <xdr:cNvSpPr txBox="1"/>
        </xdr:nvSpPr>
        <xdr:spPr>
          <a:xfrm>
            <a:off x="546877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1" name="MMC_R37_C07"/>
          <xdr:cNvSpPr txBox="1"/>
        </xdr:nvSpPr>
        <xdr:spPr>
          <a:xfrm>
            <a:off x="546877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2" name="MMC_R38_C07"/>
          <xdr:cNvSpPr txBox="1"/>
        </xdr:nvSpPr>
        <xdr:spPr>
          <a:xfrm>
            <a:off x="546877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3" name="MMC_R39_C07"/>
          <xdr:cNvSpPr txBox="1"/>
        </xdr:nvSpPr>
        <xdr:spPr>
          <a:xfrm>
            <a:off x="546878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4" name="MMC_R40_C07"/>
          <xdr:cNvSpPr txBox="1"/>
        </xdr:nvSpPr>
        <xdr:spPr>
          <a:xfrm>
            <a:off x="546878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5" name="MMC_R41_C07"/>
          <xdr:cNvSpPr txBox="1"/>
        </xdr:nvSpPr>
        <xdr:spPr>
          <a:xfrm>
            <a:off x="546878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6" name="MMC_R42_C07"/>
          <xdr:cNvSpPr txBox="1"/>
        </xdr:nvSpPr>
        <xdr:spPr>
          <a:xfrm>
            <a:off x="546878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7" name="MMC_R43_C07"/>
          <xdr:cNvSpPr txBox="1"/>
        </xdr:nvSpPr>
        <xdr:spPr>
          <a:xfrm>
            <a:off x="546878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8" name="MMC_R44_C07"/>
          <xdr:cNvSpPr txBox="1"/>
        </xdr:nvSpPr>
        <xdr:spPr>
          <a:xfrm>
            <a:off x="546878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9" name="MMC_R45_C07"/>
          <xdr:cNvSpPr txBox="1"/>
        </xdr:nvSpPr>
        <xdr:spPr>
          <a:xfrm>
            <a:off x="546878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0" name="MMC_R46_C07"/>
          <xdr:cNvSpPr txBox="1"/>
        </xdr:nvSpPr>
        <xdr:spPr>
          <a:xfrm>
            <a:off x="546878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1" name="MMC_R47_C07"/>
          <xdr:cNvSpPr txBox="1"/>
        </xdr:nvSpPr>
        <xdr:spPr>
          <a:xfrm>
            <a:off x="546878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2" name="MMC_R48_C07"/>
          <xdr:cNvSpPr txBox="1"/>
        </xdr:nvSpPr>
        <xdr:spPr>
          <a:xfrm>
            <a:off x="4862816" y="8619673"/>
            <a:ext cx="147023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Yaskawa 3%</a:t>
            </a:r>
          </a:p>
        </xdr:txBody>
      </xdr:sp>
      <xdr:sp macro="" textlink="">
        <xdr:nvSpPr>
          <xdr:cNvPr id="170723" name="MMC_R49_C07"/>
          <xdr:cNvSpPr txBox="1"/>
        </xdr:nvSpPr>
        <xdr:spPr>
          <a:xfrm>
            <a:off x="546879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4" name="MMC_R50_C07"/>
          <xdr:cNvSpPr txBox="1"/>
        </xdr:nvSpPr>
        <xdr:spPr>
          <a:xfrm>
            <a:off x="546879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5" name="MMC_R51_C07"/>
          <xdr:cNvSpPr txBox="1"/>
        </xdr:nvSpPr>
        <xdr:spPr>
          <a:xfrm>
            <a:off x="546879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6" name="MMC_R52_C07"/>
          <xdr:cNvSpPr txBox="1"/>
        </xdr:nvSpPr>
        <xdr:spPr>
          <a:xfrm>
            <a:off x="546879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7" name="MMC_R53_C07"/>
          <xdr:cNvSpPr txBox="1"/>
        </xdr:nvSpPr>
        <xdr:spPr>
          <a:xfrm>
            <a:off x="546879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8" name="MMC_R54_C07"/>
          <xdr:cNvSpPr txBox="1"/>
        </xdr:nvSpPr>
        <xdr:spPr>
          <a:xfrm>
            <a:off x="546879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9" name="MMC_R55_C07"/>
          <xdr:cNvSpPr txBox="1"/>
        </xdr:nvSpPr>
        <xdr:spPr>
          <a:xfrm>
            <a:off x="546879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0" name="MMC_R56_C07"/>
          <xdr:cNvSpPr txBox="1"/>
        </xdr:nvSpPr>
        <xdr:spPr>
          <a:xfrm>
            <a:off x="5146157" y="8619673"/>
            <a:ext cx="11704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1" name="MMC_R57_C07"/>
          <xdr:cNvSpPr txBox="1"/>
        </xdr:nvSpPr>
        <xdr:spPr>
          <a:xfrm>
            <a:off x="546879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2" name="MMC_R58_C07"/>
          <xdr:cNvSpPr txBox="1"/>
        </xdr:nvSpPr>
        <xdr:spPr>
          <a:xfrm>
            <a:off x="546879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3" name="MMC_R59_C07"/>
          <xdr:cNvSpPr txBox="1"/>
        </xdr:nvSpPr>
        <xdr:spPr>
          <a:xfrm>
            <a:off x="546880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4" name="MMC_R60_C07"/>
          <xdr:cNvSpPr txBox="1"/>
        </xdr:nvSpPr>
        <xdr:spPr>
          <a:xfrm>
            <a:off x="546880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5" name="MMC_R61_C07"/>
          <xdr:cNvSpPr txBox="1"/>
        </xdr:nvSpPr>
        <xdr:spPr>
          <a:xfrm>
            <a:off x="546880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6" name="MMC_R62_C07"/>
          <xdr:cNvSpPr txBox="1"/>
        </xdr:nvSpPr>
        <xdr:spPr>
          <a:xfrm>
            <a:off x="546880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7" name="MMC_R63_C07"/>
          <xdr:cNvSpPr txBox="1"/>
        </xdr:nvSpPr>
        <xdr:spPr>
          <a:xfrm>
            <a:off x="546880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8" name="MMC_R64_C07"/>
          <xdr:cNvSpPr txBox="1"/>
        </xdr:nvSpPr>
        <xdr:spPr>
          <a:xfrm>
            <a:off x="546880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9" name="MMC_R65_C07"/>
          <xdr:cNvSpPr txBox="1"/>
        </xdr:nvSpPr>
        <xdr:spPr>
          <a:xfrm>
            <a:off x="546880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0" name="MMC_R66_C07"/>
          <xdr:cNvSpPr txBox="1"/>
        </xdr:nvSpPr>
        <xdr:spPr>
          <a:xfrm>
            <a:off x="546880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1" name="MMC_R67_C07"/>
          <xdr:cNvSpPr txBox="1"/>
        </xdr:nvSpPr>
        <xdr:spPr>
          <a:xfrm>
            <a:off x="5335289" y="8619673"/>
            <a:ext cx="7137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2" name="MMC_R68_C07"/>
          <xdr:cNvSpPr txBox="1"/>
        </xdr:nvSpPr>
        <xdr:spPr>
          <a:xfrm>
            <a:off x="5263205" y="8619673"/>
            <a:ext cx="72084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3" name="MMC_R69_C07"/>
          <xdr:cNvSpPr txBox="1"/>
        </xdr:nvSpPr>
        <xdr:spPr>
          <a:xfrm>
            <a:off x="546881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4" name="MMC_R70_C07"/>
          <xdr:cNvSpPr txBox="1"/>
        </xdr:nvSpPr>
        <xdr:spPr>
          <a:xfrm>
            <a:off x="546881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5" name="MMC_R71_C07"/>
          <xdr:cNvSpPr txBox="1"/>
        </xdr:nvSpPr>
        <xdr:spPr>
          <a:xfrm>
            <a:off x="546881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6" name="MMC_R72_C07"/>
          <xdr:cNvSpPr txBox="1"/>
        </xdr:nvSpPr>
        <xdr:spPr>
          <a:xfrm>
            <a:off x="5406660" y="8619673"/>
            <a:ext cx="62092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7" name="MMC_R73_C07"/>
          <xdr:cNvSpPr txBox="1"/>
        </xdr:nvSpPr>
        <xdr:spPr>
          <a:xfrm>
            <a:off x="546881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8" name="MMC_R74_C07"/>
          <xdr:cNvSpPr txBox="1"/>
        </xdr:nvSpPr>
        <xdr:spPr>
          <a:xfrm>
            <a:off x="546881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9" name="MMC_R75_C07"/>
          <xdr:cNvSpPr txBox="1"/>
        </xdr:nvSpPr>
        <xdr:spPr>
          <a:xfrm>
            <a:off x="546881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0" name="MMC_R76_C07"/>
          <xdr:cNvSpPr txBox="1"/>
        </xdr:nvSpPr>
        <xdr:spPr>
          <a:xfrm>
            <a:off x="546881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1" name="MMC_R77_C07"/>
          <xdr:cNvSpPr txBox="1"/>
        </xdr:nvSpPr>
        <xdr:spPr>
          <a:xfrm>
            <a:off x="546881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2" name="MMC_R78_C07"/>
          <xdr:cNvSpPr txBox="1"/>
        </xdr:nvSpPr>
        <xdr:spPr>
          <a:xfrm>
            <a:off x="546881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3" name="MMC_R79_C07"/>
          <xdr:cNvSpPr txBox="1"/>
        </xdr:nvSpPr>
        <xdr:spPr>
          <a:xfrm>
            <a:off x="546882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4" name="MMC_R80_C07"/>
          <xdr:cNvSpPr txBox="1"/>
        </xdr:nvSpPr>
        <xdr:spPr>
          <a:xfrm>
            <a:off x="546882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5" name="MMC_R81_C07"/>
          <xdr:cNvSpPr txBox="1"/>
        </xdr:nvSpPr>
        <xdr:spPr>
          <a:xfrm>
            <a:off x="546882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6" name="MMC_R82_C07"/>
          <xdr:cNvSpPr txBox="1"/>
        </xdr:nvSpPr>
        <xdr:spPr>
          <a:xfrm>
            <a:off x="546882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7" name="MMC_R83_C07"/>
          <xdr:cNvSpPr txBox="1"/>
        </xdr:nvSpPr>
        <xdr:spPr>
          <a:xfrm>
            <a:off x="546882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8" name="MMC_R84_C07"/>
          <xdr:cNvSpPr txBox="1"/>
        </xdr:nvSpPr>
        <xdr:spPr>
          <a:xfrm>
            <a:off x="546882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9" name="MMC_R85_C07"/>
          <xdr:cNvSpPr txBox="1"/>
        </xdr:nvSpPr>
        <xdr:spPr>
          <a:xfrm>
            <a:off x="546882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0" name="MMC_R86_C07"/>
          <xdr:cNvSpPr txBox="1"/>
        </xdr:nvSpPr>
        <xdr:spPr>
          <a:xfrm>
            <a:off x="546882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1" name="MMC_R87_C07"/>
          <xdr:cNvSpPr txBox="1"/>
        </xdr:nvSpPr>
        <xdr:spPr>
          <a:xfrm>
            <a:off x="546882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2" name="MMC_R88_C07"/>
          <xdr:cNvSpPr txBox="1"/>
        </xdr:nvSpPr>
        <xdr:spPr>
          <a:xfrm>
            <a:off x="546882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3" name="MMC_R89_C07"/>
          <xdr:cNvSpPr txBox="1"/>
        </xdr:nvSpPr>
        <xdr:spPr>
          <a:xfrm>
            <a:off x="546883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4" name="MMC_R90_C07"/>
          <xdr:cNvSpPr txBox="1"/>
        </xdr:nvSpPr>
        <xdr:spPr>
          <a:xfrm>
            <a:off x="546883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5" name="MMC_R91_C07"/>
          <xdr:cNvSpPr txBox="1"/>
        </xdr:nvSpPr>
        <xdr:spPr>
          <a:xfrm>
            <a:off x="546883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6" name="MMC_R92_C07"/>
          <xdr:cNvSpPr txBox="1"/>
        </xdr:nvSpPr>
        <xdr:spPr>
          <a:xfrm>
            <a:off x="546883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7" name="MMC_R93_C07"/>
          <xdr:cNvSpPr txBox="1"/>
        </xdr:nvSpPr>
        <xdr:spPr>
          <a:xfrm>
            <a:off x="546883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8" name="MMC_R94_C07"/>
          <xdr:cNvSpPr txBox="1"/>
        </xdr:nvSpPr>
        <xdr:spPr>
          <a:xfrm>
            <a:off x="546883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9" name="MMC_R95_C07"/>
          <xdr:cNvSpPr txBox="1"/>
        </xdr:nvSpPr>
        <xdr:spPr>
          <a:xfrm>
            <a:off x="546883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0" name="MMC_R96_C07"/>
          <xdr:cNvSpPr txBox="1"/>
        </xdr:nvSpPr>
        <xdr:spPr>
          <a:xfrm>
            <a:off x="546883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1" name="MMC_R97_C07"/>
          <xdr:cNvSpPr txBox="1"/>
        </xdr:nvSpPr>
        <xdr:spPr>
          <a:xfrm>
            <a:off x="546883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2" name="MMC_R98_C07"/>
          <xdr:cNvSpPr txBox="1"/>
        </xdr:nvSpPr>
        <xdr:spPr>
          <a:xfrm>
            <a:off x="546883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3" name="MMC_R99_C07"/>
          <xdr:cNvSpPr txBox="1"/>
        </xdr:nvSpPr>
        <xdr:spPr>
          <a:xfrm>
            <a:off x="5468814" y="8619673"/>
            <a:ext cx="30974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70774" name="MMC_R01_C08"/>
          <xdr:cNvSpPr txBox="1"/>
        </xdr:nvSpPr>
        <xdr:spPr>
          <a:xfrm>
            <a:off x="4421539" y="9376926"/>
            <a:ext cx="62952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5" name="MMC_R02_C08"/>
          <xdr:cNvSpPr txBox="1"/>
        </xdr:nvSpPr>
        <xdr:spPr>
          <a:xfrm>
            <a:off x="4554060" y="9376926"/>
            <a:ext cx="14307" cy="755504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6" name="MMC_R03_C08"/>
          <xdr:cNvSpPr txBox="1"/>
        </xdr:nvSpPr>
        <xdr:spPr>
          <a:xfrm>
            <a:off x="4537950" y="9376926"/>
            <a:ext cx="16110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7" name="MMC_R04_C08"/>
          <xdr:cNvSpPr txBox="1"/>
        </xdr:nvSpPr>
        <xdr:spPr>
          <a:xfrm>
            <a:off x="457080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8" name="MMC_R05_C08"/>
          <xdr:cNvSpPr txBox="1"/>
        </xdr:nvSpPr>
        <xdr:spPr>
          <a:xfrm>
            <a:off x="457082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9" name="MMC_R06_C08"/>
          <xdr:cNvSpPr txBox="1"/>
        </xdr:nvSpPr>
        <xdr:spPr>
          <a:xfrm>
            <a:off x="457080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0" name="MMC_R07_C08"/>
          <xdr:cNvSpPr txBox="1"/>
        </xdr:nvSpPr>
        <xdr:spPr>
          <a:xfrm>
            <a:off x="4568367" y="9376926"/>
            <a:ext cx="2432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1" name="MMC_R08_C08"/>
          <xdr:cNvSpPr txBox="1"/>
        </xdr:nvSpPr>
        <xdr:spPr>
          <a:xfrm>
            <a:off x="457081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2" name="MMC_R09_C08"/>
          <xdr:cNvSpPr txBox="1"/>
        </xdr:nvSpPr>
        <xdr:spPr>
          <a:xfrm>
            <a:off x="457081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3" name="MMC_R10_C08"/>
          <xdr:cNvSpPr txBox="1"/>
        </xdr:nvSpPr>
        <xdr:spPr>
          <a:xfrm>
            <a:off x="2794595" y="9376926"/>
            <a:ext cx="379140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8%</a:t>
            </a:r>
          </a:p>
        </xdr:txBody>
      </xdr:sp>
      <xdr:sp macro="" textlink="">
        <xdr:nvSpPr>
          <xdr:cNvPr id="170784" name="MMC_R11_C08"/>
          <xdr:cNvSpPr txBox="1"/>
        </xdr:nvSpPr>
        <xdr:spPr>
          <a:xfrm>
            <a:off x="457082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5" name="MMC_R12_C08"/>
          <xdr:cNvSpPr txBox="1"/>
        </xdr:nvSpPr>
        <xdr:spPr>
          <a:xfrm>
            <a:off x="457082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6" name="MMC_R13_C08"/>
          <xdr:cNvSpPr txBox="1"/>
        </xdr:nvSpPr>
        <xdr:spPr>
          <a:xfrm>
            <a:off x="457084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7" name="MMC_R14_C08"/>
          <xdr:cNvSpPr txBox="1"/>
        </xdr:nvSpPr>
        <xdr:spPr>
          <a:xfrm>
            <a:off x="457085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8" name="MMC_R15_C08"/>
          <xdr:cNvSpPr txBox="1"/>
        </xdr:nvSpPr>
        <xdr:spPr>
          <a:xfrm>
            <a:off x="457079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9" name="MMC_R16_C08"/>
          <xdr:cNvSpPr txBox="1"/>
        </xdr:nvSpPr>
        <xdr:spPr>
          <a:xfrm>
            <a:off x="457080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0" name="MMC_R17_C08"/>
          <xdr:cNvSpPr txBox="1"/>
        </xdr:nvSpPr>
        <xdr:spPr>
          <a:xfrm>
            <a:off x="1206500" y="9376926"/>
            <a:ext cx="1158737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25%</a:t>
            </a:r>
          </a:p>
        </xdr:txBody>
      </xdr:sp>
      <xdr:sp macro="" textlink="">
        <xdr:nvSpPr>
          <xdr:cNvPr id="170791" name="MMC_R18_C08"/>
          <xdr:cNvSpPr txBox="1"/>
        </xdr:nvSpPr>
        <xdr:spPr>
          <a:xfrm>
            <a:off x="457080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2" name="MMC_R19_C08"/>
          <xdr:cNvSpPr txBox="1"/>
        </xdr:nvSpPr>
        <xdr:spPr>
          <a:xfrm>
            <a:off x="457080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3" name="MMC_R20_C08"/>
          <xdr:cNvSpPr txBox="1"/>
        </xdr:nvSpPr>
        <xdr:spPr>
          <a:xfrm>
            <a:off x="457080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4" name="MMC_R21_C08"/>
          <xdr:cNvSpPr txBox="1"/>
        </xdr:nvSpPr>
        <xdr:spPr>
          <a:xfrm>
            <a:off x="457080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5" name="MMC_R22_C08"/>
          <xdr:cNvSpPr txBox="1"/>
        </xdr:nvSpPr>
        <xdr:spPr>
          <a:xfrm>
            <a:off x="2365237" y="9376926"/>
            <a:ext cx="42935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 Process Management 9%</a:t>
            </a:r>
          </a:p>
        </xdr:txBody>
      </xdr:sp>
      <xdr:sp macro="" textlink="">
        <xdr:nvSpPr>
          <xdr:cNvPr id="170796" name="MMC_R23_C08"/>
          <xdr:cNvSpPr txBox="1"/>
        </xdr:nvSpPr>
        <xdr:spPr>
          <a:xfrm>
            <a:off x="457080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7" name="MMC_R24_C08"/>
          <xdr:cNvSpPr txBox="1"/>
        </xdr:nvSpPr>
        <xdr:spPr>
          <a:xfrm>
            <a:off x="457080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8" name="MMC_R25_C08"/>
          <xdr:cNvSpPr txBox="1"/>
        </xdr:nvSpPr>
        <xdr:spPr>
          <a:xfrm>
            <a:off x="457080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9" name="MMC_R26_C08"/>
          <xdr:cNvSpPr txBox="1"/>
        </xdr:nvSpPr>
        <xdr:spPr>
          <a:xfrm>
            <a:off x="457081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0" name="MMC_R27_C08"/>
          <xdr:cNvSpPr txBox="1"/>
        </xdr:nvSpPr>
        <xdr:spPr>
          <a:xfrm>
            <a:off x="457081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1" name="MMC_R28_C08"/>
          <xdr:cNvSpPr txBox="1"/>
        </xdr:nvSpPr>
        <xdr:spPr>
          <a:xfrm>
            <a:off x="457081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2" name="MMC_R29_C08"/>
          <xdr:cNvSpPr txBox="1"/>
        </xdr:nvSpPr>
        <xdr:spPr>
          <a:xfrm>
            <a:off x="457081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3" name="MMC_R30_C08"/>
          <xdr:cNvSpPr txBox="1"/>
        </xdr:nvSpPr>
        <xdr:spPr>
          <a:xfrm>
            <a:off x="457081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4" name="MMC_R31_C08"/>
          <xdr:cNvSpPr txBox="1"/>
        </xdr:nvSpPr>
        <xdr:spPr>
          <a:xfrm>
            <a:off x="457081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5" name="MMC_R32_C08"/>
          <xdr:cNvSpPr txBox="1"/>
        </xdr:nvSpPr>
        <xdr:spPr>
          <a:xfrm>
            <a:off x="4342993" y="9376926"/>
            <a:ext cx="78546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6" name="MMC_R33_C08"/>
          <xdr:cNvSpPr txBox="1"/>
        </xdr:nvSpPr>
        <xdr:spPr>
          <a:xfrm>
            <a:off x="457081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7" name="MMC_R34_C08"/>
          <xdr:cNvSpPr txBox="1"/>
        </xdr:nvSpPr>
        <xdr:spPr>
          <a:xfrm>
            <a:off x="3173735" y="9376926"/>
            <a:ext cx="29424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Hokuyo 6%</a:t>
            </a:r>
          </a:p>
        </xdr:txBody>
      </xdr:sp>
      <xdr:sp macro="" textlink="">
        <xdr:nvSpPr>
          <xdr:cNvPr id="170808" name="MMC_R35_C08"/>
          <xdr:cNvSpPr txBox="1"/>
        </xdr:nvSpPr>
        <xdr:spPr>
          <a:xfrm>
            <a:off x="457081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9" name="MMC_R36_C08"/>
          <xdr:cNvSpPr txBox="1"/>
        </xdr:nvSpPr>
        <xdr:spPr>
          <a:xfrm>
            <a:off x="3467983" y="9376926"/>
            <a:ext cx="272154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 Electric 6%</a:t>
            </a:r>
          </a:p>
        </xdr:txBody>
      </xdr:sp>
      <xdr:sp macro="" textlink="">
        <xdr:nvSpPr>
          <xdr:cNvPr id="170810" name="MMC_R37_C08"/>
          <xdr:cNvSpPr txBox="1"/>
        </xdr:nvSpPr>
        <xdr:spPr>
          <a:xfrm>
            <a:off x="3740137" y="9376926"/>
            <a:ext cx="264683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Kontron 6%</a:t>
            </a:r>
          </a:p>
        </xdr:txBody>
      </xdr:sp>
      <xdr:sp macro="" textlink="">
        <xdr:nvSpPr>
          <xdr:cNvPr id="170811" name="MMC_R38_C08"/>
          <xdr:cNvSpPr txBox="1"/>
        </xdr:nvSpPr>
        <xdr:spPr>
          <a:xfrm>
            <a:off x="457082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2" name="MMC_R39_C08"/>
          <xdr:cNvSpPr txBox="1"/>
        </xdr:nvSpPr>
        <xdr:spPr>
          <a:xfrm>
            <a:off x="457082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3" name="MMC_R40_C08"/>
          <xdr:cNvSpPr txBox="1"/>
        </xdr:nvSpPr>
        <xdr:spPr>
          <a:xfrm>
            <a:off x="457082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4" name="MMC_R41_C08"/>
          <xdr:cNvSpPr txBox="1"/>
        </xdr:nvSpPr>
        <xdr:spPr>
          <a:xfrm>
            <a:off x="4004820" y="9376926"/>
            <a:ext cx="233765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Horiba Analytical 5%</a:t>
            </a:r>
          </a:p>
        </xdr:txBody>
      </xdr:sp>
      <xdr:sp macro="" textlink="">
        <xdr:nvSpPr>
          <xdr:cNvPr id="170815" name="MMC_R42_C08"/>
          <xdr:cNvSpPr txBox="1"/>
        </xdr:nvSpPr>
        <xdr:spPr>
          <a:xfrm>
            <a:off x="457082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6" name="MMC_R43_C08"/>
          <xdr:cNvSpPr txBox="1"/>
        </xdr:nvSpPr>
        <xdr:spPr>
          <a:xfrm>
            <a:off x="457082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7" name="MMC_R44_C08"/>
          <xdr:cNvSpPr txBox="1"/>
        </xdr:nvSpPr>
        <xdr:spPr>
          <a:xfrm>
            <a:off x="457082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8" name="MMC_R45_C08"/>
          <xdr:cNvSpPr txBox="1"/>
        </xdr:nvSpPr>
        <xdr:spPr>
          <a:xfrm>
            <a:off x="457082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9" name="MMC_R46_C08"/>
          <xdr:cNvSpPr txBox="1"/>
        </xdr:nvSpPr>
        <xdr:spPr>
          <a:xfrm>
            <a:off x="457083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0" name="MMC_R47_C08"/>
          <xdr:cNvSpPr txBox="1"/>
        </xdr:nvSpPr>
        <xdr:spPr>
          <a:xfrm>
            <a:off x="457083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1" name="MMC_R48_C08"/>
          <xdr:cNvSpPr txBox="1"/>
        </xdr:nvSpPr>
        <xdr:spPr>
          <a:xfrm>
            <a:off x="457083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2" name="MMC_R49_C08"/>
          <xdr:cNvSpPr txBox="1"/>
        </xdr:nvSpPr>
        <xdr:spPr>
          <a:xfrm>
            <a:off x="457083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3" name="MMC_R50_C08"/>
          <xdr:cNvSpPr txBox="1"/>
        </xdr:nvSpPr>
        <xdr:spPr>
          <a:xfrm>
            <a:off x="457083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4" name="MMC_R51_C08"/>
          <xdr:cNvSpPr txBox="1"/>
        </xdr:nvSpPr>
        <xdr:spPr>
          <a:xfrm>
            <a:off x="457083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5" name="MMC_R52_C08"/>
          <xdr:cNvSpPr txBox="1"/>
        </xdr:nvSpPr>
        <xdr:spPr>
          <a:xfrm>
            <a:off x="457083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6" name="MMC_R53_C08"/>
          <xdr:cNvSpPr txBox="1"/>
        </xdr:nvSpPr>
        <xdr:spPr>
          <a:xfrm>
            <a:off x="457083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7" name="MMC_R54_C08"/>
          <xdr:cNvSpPr txBox="1"/>
        </xdr:nvSpPr>
        <xdr:spPr>
          <a:xfrm>
            <a:off x="457083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8" name="MMC_R55_C08"/>
          <xdr:cNvSpPr txBox="1"/>
        </xdr:nvSpPr>
        <xdr:spPr>
          <a:xfrm>
            <a:off x="457083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9" name="MMC_R56_C08"/>
          <xdr:cNvSpPr txBox="1"/>
        </xdr:nvSpPr>
        <xdr:spPr>
          <a:xfrm>
            <a:off x="457084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0" name="MMC_R57_C08"/>
          <xdr:cNvSpPr txBox="1"/>
        </xdr:nvSpPr>
        <xdr:spPr>
          <a:xfrm>
            <a:off x="457084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1" name="MMC_R58_C08"/>
          <xdr:cNvSpPr txBox="1"/>
        </xdr:nvSpPr>
        <xdr:spPr>
          <a:xfrm>
            <a:off x="457084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2" name="MMC_R59_C08"/>
          <xdr:cNvSpPr txBox="1"/>
        </xdr:nvSpPr>
        <xdr:spPr>
          <a:xfrm>
            <a:off x="4238585" y="9376926"/>
            <a:ext cx="10440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3" name="MMC_R60_C08"/>
          <xdr:cNvSpPr txBox="1"/>
        </xdr:nvSpPr>
        <xdr:spPr>
          <a:xfrm>
            <a:off x="457084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4" name="MMC_R61_C08"/>
          <xdr:cNvSpPr txBox="1"/>
        </xdr:nvSpPr>
        <xdr:spPr>
          <a:xfrm>
            <a:off x="457084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5" name="MMC_R62_C08"/>
          <xdr:cNvSpPr txBox="1"/>
        </xdr:nvSpPr>
        <xdr:spPr>
          <a:xfrm>
            <a:off x="457084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6" name="MMC_R63_C08"/>
          <xdr:cNvSpPr txBox="1"/>
        </xdr:nvSpPr>
        <xdr:spPr>
          <a:xfrm>
            <a:off x="457084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7" name="MMC_R64_C08"/>
          <xdr:cNvSpPr txBox="1"/>
        </xdr:nvSpPr>
        <xdr:spPr>
          <a:xfrm>
            <a:off x="457084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8" name="MMC_R65_C08"/>
          <xdr:cNvSpPr txBox="1"/>
        </xdr:nvSpPr>
        <xdr:spPr>
          <a:xfrm>
            <a:off x="457084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9" name="MMC_R66_C08"/>
          <xdr:cNvSpPr txBox="1"/>
        </xdr:nvSpPr>
        <xdr:spPr>
          <a:xfrm>
            <a:off x="457085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0" name="MMC_R67_C08"/>
          <xdr:cNvSpPr txBox="1"/>
        </xdr:nvSpPr>
        <xdr:spPr>
          <a:xfrm>
            <a:off x="457085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1" name="MMC_R68_C08"/>
          <xdr:cNvSpPr txBox="1"/>
        </xdr:nvSpPr>
        <xdr:spPr>
          <a:xfrm>
            <a:off x="457085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2" name="MMC_R69_C08"/>
          <xdr:cNvSpPr txBox="1"/>
        </xdr:nvSpPr>
        <xdr:spPr>
          <a:xfrm>
            <a:off x="457085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3" name="MMC_R70_C08"/>
          <xdr:cNvSpPr txBox="1"/>
        </xdr:nvSpPr>
        <xdr:spPr>
          <a:xfrm>
            <a:off x="457085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4" name="MMC_R71_C08"/>
          <xdr:cNvSpPr txBox="1"/>
        </xdr:nvSpPr>
        <xdr:spPr>
          <a:xfrm>
            <a:off x="457085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5" name="MMC_R72_C08"/>
          <xdr:cNvSpPr txBox="1"/>
        </xdr:nvSpPr>
        <xdr:spPr>
          <a:xfrm>
            <a:off x="457085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6" name="MMC_R73_C08"/>
          <xdr:cNvSpPr txBox="1"/>
        </xdr:nvSpPr>
        <xdr:spPr>
          <a:xfrm>
            <a:off x="457085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7" name="MMC_R74_C08"/>
          <xdr:cNvSpPr txBox="1"/>
        </xdr:nvSpPr>
        <xdr:spPr>
          <a:xfrm>
            <a:off x="457085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8" name="MMC_R75_C08"/>
          <xdr:cNvSpPr txBox="1"/>
        </xdr:nvSpPr>
        <xdr:spPr>
          <a:xfrm>
            <a:off x="4484491" y="9376926"/>
            <a:ext cx="53459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9" name="MMC_R76_C08"/>
          <xdr:cNvSpPr txBox="1"/>
        </xdr:nvSpPr>
        <xdr:spPr>
          <a:xfrm>
            <a:off x="457086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0" name="MMC_R77_C08"/>
          <xdr:cNvSpPr txBox="1"/>
        </xdr:nvSpPr>
        <xdr:spPr>
          <a:xfrm>
            <a:off x="457086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1" name="MMC_R78_C08"/>
          <xdr:cNvSpPr txBox="1"/>
        </xdr:nvSpPr>
        <xdr:spPr>
          <a:xfrm>
            <a:off x="457086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2" name="MMC_R79_C08"/>
          <xdr:cNvSpPr txBox="1"/>
        </xdr:nvSpPr>
        <xdr:spPr>
          <a:xfrm>
            <a:off x="457086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3" name="MMC_R80_C08"/>
          <xdr:cNvSpPr txBox="1"/>
        </xdr:nvSpPr>
        <xdr:spPr>
          <a:xfrm>
            <a:off x="457086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4" name="MMC_R81_C08"/>
          <xdr:cNvSpPr txBox="1"/>
        </xdr:nvSpPr>
        <xdr:spPr>
          <a:xfrm>
            <a:off x="457086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5" name="MMC_R82_C08"/>
          <xdr:cNvSpPr txBox="1"/>
        </xdr:nvSpPr>
        <xdr:spPr>
          <a:xfrm>
            <a:off x="457086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6" name="MMC_R83_C08"/>
          <xdr:cNvSpPr txBox="1"/>
        </xdr:nvSpPr>
        <xdr:spPr>
          <a:xfrm>
            <a:off x="457086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7" name="MMC_R84_C08"/>
          <xdr:cNvSpPr txBox="1"/>
        </xdr:nvSpPr>
        <xdr:spPr>
          <a:xfrm>
            <a:off x="457086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8" name="MMC_R85_C08"/>
          <xdr:cNvSpPr txBox="1"/>
        </xdr:nvSpPr>
        <xdr:spPr>
          <a:xfrm>
            <a:off x="457086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9" name="MMC_R86_C08"/>
          <xdr:cNvSpPr txBox="1"/>
        </xdr:nvSpPr>
        <xdr:spPr>
          <a:xfrm>
            <a:off x="457087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0" name="MMC_R87_C08"/>
          <xdr:cNvSpPr txBox="1"/>
        </xdr:nvSpPr>
        <xdr:spPr>
          <a:xfrm>
            <a:off x="457087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1" name="MMC_R88_C08"/>
          <xdr:cNvSpPr txBox="1"/>
        </xdr:nvSpPr>
        <xdr:spPr>
          <a:xfrm>
            <a:off x="457087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2" name="MMC_R89_C08"/>
          <xdr:cNvSpPr txBox="1"/>
        </xdr:nvSpPr>
        <xdr:spPr>
          <a:xfrm>
            <a:off x="457087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3" name="MMC_R90_C08"/>
          <xdr:cNvSpPr txBox="1"/>
        </xdr:nvSpPr>
        <xdr:spPr>
          <a:xfrm>
            <a:off x="457087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4" name="MMC_R91_C08"/>
          <xdr:cNvSpPr txBox="1"/>
        </xdr:nvSpPr>
        <xdr:spPr>
          <a:xfrm>
            <a:off x="457087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5" name="MMC_R92_C08"/>
          <xdr:cNvSpPr txBox="1"/>
        </xdr:nvSpPr>
        <xdr:spPr>
          <a:xfrm>
            <a:off x="457087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6" name="MMC_R93_C08"/>
          <xdr:cNvSpPr txBox="1"/>
        </xdr:nvSpPr>
        <xdr:spPr>
          <a:xfrm>
            <a:off x="457087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7" name="MMC_R94_C08"/>
          <xdr:cNvSpPr txBox="1"/>
        </xdr:nvSpPr>
        <xdr:spPr>
          <a:xfrm>
            <a:off x="457087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8" name="MMC_R95_C08"/>
          <xdr:cNvSpPr txBox="1"/>
        </xdr:nvSpPr>
        <xdr:spPr>
          <a:xfrm>
            <a:off x="457087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9" name="MMC_R96_C08"/>
          <xdr:cNvSpPr txBox="1"/>
        </xdr:nvSpPr>
        <xdr:spPr>
          <a:xfrm>
            <a:off x="457088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0" name="MMC_R97_C08"/>
          <xdr:cNvSpPr txBox="1"/>
        </xdr:nvSpPr>
        <xdr:spPr>
          <a:xfrm>
            <a:off x="457088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1" name="MMC_R98_C08"/>
          <xdr:cNvSpPr txBox="1"/>
        </xdr:nvSpPr>
        <xdr:spPr>
          <a:xfrm>
            <a:off x="457088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2" name="MMC_R99_C08"/>
          <xdr:cNvSpPr txBox="1"/>
        </xdr:nvSpPr>
        <xdr:spPr>
          <a:xfrm>
            <a:off x="4570859" y="9376926"/>
            <a:ext cx="120770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26%</a:t>
            </a:r>
          </a:p>
        </xdr:txBody>
      </xdr:sp>
      <xdr:sp macro="" textlink="">
        <xdr:nvSpPr>
          <xdr:cNvPr id="170873" name="MMC_R01_C09"/>
          <xdr:cNvSpPr txBox="1"/>
        </xdr:nvSpPr>
        <xdr:spPr>
          <a:xfrm>
            <a:off x="4133269" y="10132430"/>
            <a:ext cx="41314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4" name="MMC_R02_C09"/>
          <xdr:cNvSpPr txBox="1"/>
        </xdr:nvSpPr>
        <xdr:spPr>
          <a:xfrm>
            <a:off x="3642175" y="10132430"/>
            <a:ext cx="98287" cy="70444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5" name="MMC_R03_C09"/>
          <xdr:cNvSpPr txBox="1"/>
        </xdr:nvSpPr>
        <xdr:spPr>
          <a:xfrm>
            <a:off x="437155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6" name="MMC_R04_C09"/>
          <xdr:cNvSpPr txBox="1"/>
        </xdr:nvSpPr>
        <xdr:spPr>
          <a:xfrm>
            <a:off x="3918455" y="10132430"/>
            <a:ext cx="7432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7" name="MMC_R05_C09"/>
          <xdr:cNvSpPr txBox="1"/>
        </xdr:nvSpPr>
        <xdr:spPr>
          <a:xfrm>
            <a:off x="437154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8" name="MMC_R06_C09"/>
          <xdr:cNvSpPr txBox="1"/>
        </xdr:nvSpPr>
        <xdr:spPr>
          <a:xfrm>
            <a:off x="4368746" y="10132430"/>
            <a:ext cx="179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9" name="MMC_R07_C09"/>
          <xdr:cNvSpPr txBox="1"/>
        </xdr:nvSpPr>
        <xdr:spPr>
          <a:xfrm>
            <a:off x="437160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0" name="MMC_R08_C09"/>
          <xdr:cNvSpPr txBox="1"/>
        </xdr:nvSpPr>
        <xdr:spPr>
          <a:xfrm>
            <a:off x="1206500" y="10132430"/>
            <a:ext cx="495336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11%</a:t>
            </a:r>
          </a:p>
        </xdr:txBody>
      </xdr:sp>
      <xdr:sp macro="" textlink="">
        <xdr:nvSpPr>
          <xdr:cNvPr id="170881" name="MMC_R09_C09"/>
          <xdr:cNvSpPr txBox="1"/>
        </xdr:nvSpPr>
        <xdr:spPr>
          <a:xfrm>
            <a:off x="4319810" y="10132430"/>
            <a:ext cx="1457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2" name="MMC_R10_C09"/>
          <xdr:cNvSpPr txBox="1"/>
        </xdr:nvSpPr>
        <xdr:spPr>
          <a:xfrm>
            <a:off x="437155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3" name="MMC_R11_C09"/>
          <xdr:cNvSpPr txBox="1"/>
        </xdr:nvSpPr>
        <xdr:spPr>
          <a:xfrm>
            <a:off x="437158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4" name="MMC_R12_C09"/>
          <xdr:cNvSpPr txBox="1"/>
        </xdr:nvSpPr>
        <xdr:spPr>
          <a:xfrm>
            <a:off x="437159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5" name="MMC_R13_C09"/>
          <xdr:cNvSpPr txBox="1"/>
        </xdr:nvSpPr>
        <xdr:spPr>
          <a:xfrm>
            <a:off x="4091072" y="10132430"/>
            <a:ext cx="4219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6" name="MMC_R14_C09"/>
          <xdr:cNvSpPr txBox="1"/>
        </xdr:nvSpPr>
        <xdr:spPr>
          <a:xfrm>
            <a:off x="437160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7" name="MMC_R15_C09"/>
          <xdr:cNvSpPr txBox="1"/>
        </xdr:nvSpPr>
        <xdr:spPr>
          <a:xfrm>
            <a:off x="1701836" y="10132430"/>
            <a:ext cx="46777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Keyence 10%</a:t>
            </a:r>
          </a:p>
        </xdr:txBody>
      </xdr:sp>
      <xdr:sp macro="" textlink="">
        <xdr:nvSpPr>
          <xdr:cNvPr id="170888" name="MMC_R16_C09"/>
          <xdr:cNvSpPr txBox="1"/>
        </xdr:nvSpPr>
        <xdr:spPr>
          <a:xfrm>
            <a:off x="437154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9" name="MMC_R17_C09"/>
          <xdr:cNvSpPr txBox="1"/>
        </xdr:nvSpPr>
        <xdr:spPr>
          <a:xfrm>
            <a:off x="437154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0" name="MMC_R18_C09"/>
          <xdr:cNvSpPr txBox="1"/>
        </xdr:nvSpPr>
        <xdr:spPr>
          <a:xfrm>
            <a:off x="437155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1" name="MMC_R19_C09"/>
          <xdr:cNvSpPr txBox="1"/>
        </xdr:nvSpPr>
        <xdr:spPr>
          <a:xfrm>
            <a:off x="2169608" y="10132430"/>
            <a:ext cx="40125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9%</a:t>
            </a:r>
          </a:p>
        </xdr:txBody>
      </xdr:sp>
      <xdr:sp macro="" textlink="">
        <xdr:nvSpPr>
          <xdr:cNvPr id="170892" name="MMC_R20_C09"/>
          <xdr:cNvSpPr txBox="1"/>
        </xdr:nvSpPr>
        <xdr:spPr>
          <a:xfrm>
            <a:off x="437155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3" name="MMC_R21_C09"/>
          <xdr:cNvSpPr txBox="1"/>
        </xdr:nvSpPr>
        <xdr:spPr>
          <a:xfrm>
            <a:off x="4365646" y="10132430"/>
            <a:ext cx="310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4" name="MMC_R22_C09"/>
          <xdr:cNvSpPr txBox="1"/>
        </xdr:nvSpPr>
        <xdr:spPr>
          <a:xfrm>
            <a:off x="437156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5" name="MMC_R23_C09"/>
          <xdr:cNvSpPr txBox="1"/>
        </xdr:nvSpPr>
        <xdr:spPr>
          <a:xfrm>
            <a:off x="437156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6" name="MMC_R24_C09"/>
          <xdr:cNvSpPr txBox="1"/>
        </xdr:nvSpPr>
        <xdr:spPr>
          <a:xfrm>
            <a:off x="437156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7" name="MMC_R25_C09"/>
          <xdr:cNvSpPr txBox="1"/>
        </xdr:nvSpPr>
        <xdr:spPr>
          <a:xfrm>
            <a:off x="437156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8" name="MMC_R26_C09"/>
          <xdr:cNvSpPr txBox="1"/>
        </xdr:nvSpPr>
        <xdr:spPr>
          <a:xfrm>
            <a:off x="2570859" y="10132430"/>
            <a:ext cx="29826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Moog 7%</a:t>
            </a:r>
          </a:p>
        </xdr:txBody>
      </xdr:sp>
      <xdr:sp macro="" textlink="">
        <xdr:nvSpPr>
          <xdr:cNvPr id="170899" name="MMC_R27_C09"/>
          <xdr:cNvSpPr txBox="1"/>
        </xdr:nvSpPr>
        <xdr:spPr>
          <a:xfrm>
            <a:off x="4362199" y="10132430"/>
            <a:ext cx="344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0" name="MMC_R28_C09"/>
          <xdr:cNvSpPr txBox="1"/>
        </xdr:nvSpPr>
        <xdr:spPr>
          <a:xfrm>
            <a:off x="437159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1" name="MMC_R29_C09"/>
          <xdr:cNvSpPr txBox="1"/>
        </xdr:nvSpPr>
        <xdr:spPr>
          <a:xfrm>
            <a:off x="4358171" y="10132430"/>
            <a:ext cx="4028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2" name="MMC_R30_C09"/>
          <xdr:cNvSpPr txBox="1"/>
        </xdr:nvSpPr>
        <xdr:spPr>
          <a:xfrm>
            <a:off x="3054410" y="10132430"/>
            <a:ext cx="16820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Danfoss 4%</a:t>
            </a:r>
          </a:p>
        </xdr:txBody>
      </xdr:sp>
      <xdr:sp macro="" textlink="">
        <xdr:nvSpPr>
          <xdr:cNvPr id="170903" name="MMC_R31_C09"/>
          <xdr:cNvSpPr txBox="1"/>
        </xdr:nvSpPr>
        <xdr:spPr>
          <a:xfrm>
            <a:off x="437153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4" name="MMC_R32_C09"/>
          <xdr:cNvSpPr txBox="1"/>
        </xdr:nvSpPr>
        <xdr:spPr>
          <a:xfrm>
            <a:off x="4239252" y="10132430"/>
            <a:ext cx="31456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5" name="MMC_R33_C09"/>
          <xdr:cNvSpPr txBox="1"/>
        </xdr:nvSpPr>
        <xdr:spPr>
          <a:xfrm>
            <a:off x="437154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6" name="MMC_R34_C09"/>
          <xdr:cNvSpPr txBox="1"/>
        </xdr:nvSpPr>
        <xdr:spPr>
          <a:xfrm>
            <a:off x="437154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7" name="MMC_R35_C09"/>
          <xdr:cNvSpPr txBox="1"/>
        </xdr:nvSpPr>
        <xdr:spPr>
          <a:xfrm>
            <a:off x="3992777" y="10132430"/>
            <a:ext cx="5447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8" name="MMC_R36_C09"/>
          <xdr:cNvSpPr txBox="1"/>
        </xdr:nvSpPr>
        <xdr:spPr>
          <a:xfrm>
            <a:off x="437154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9" name="MMC_R37_C09"/>
          <xdr:cNvSpPr txBox="1"/>
        </xdr:nvSpPr>
        <xdr:spPr>
          <a:xfrm>
            <a:off x="437154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0" name="MMC_R38_C09"/>
          <xdr:cNvSpPr txBox="1"/>
        </xdr:nvSpPr>
        <xdr:spPr>
          <a:xfrm>
            <a:off x="437154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1" name="MMC_R39_C09"/>
          <xdr:cNvSpPr txBox="1"/>
        </xdr:nvSpPr>
        <xdr:spPr>
          <a:xfrm>
            <a:off x="3389490" y="10132430"/>
            <a:ext cx="144508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Lenze 3%</a:t>
            </a:r>
          </a:p>
        </xdr:txBody>
      </xdr:sp>
      <xdr:sp macro="" textlink="">
        <xdr:nvSpPr>
          <xdr:cNvPr id="170912" name="MMC_R40_C09"/>
          <xdr:cNvSpPr txBox="1"/>
        </xdr:nvSpPr>
        <xdr:spPr>
          <a:xfrm>
            <a:off x="437154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3" name="MMC_R41_C09"/>
          <xdr:cNvSpPr txBox="1"/>
        </xdr:nvSpPr>
        <xdr:spPr>
          <a:xfrm>
            <a:off x="437154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4" name="MMC_R42_C09"/>
          <xdr:cNvSpPr txBox="1"/>
        </xdr:nvSpPr>
        <xdr:spPr>
          <a:xfrm>
            <a:off x="437155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5" name="MMC_R43_C09"/>
          <xdr:cNvSpPr txBox="1"/>
        </xdr:nvSpPr>
        <xdr:spPr>
          <a:xfrm>
            <a:off x="437155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6" name="MMC_R44_C09"/>
          <xdr:cNvSpPr txBox="1"/>
        </xdr:nvSpPr>
        <xdr:spPr>
          <a:xfrm>
            <a:off x="3222615" y="10132430"/>
            <a:ext cx="16687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HIMA 4%</a:t>
            </a:r>
          </a:p>
        </xdr:txBody>
      </xdr:sp>
      <xdr:sp macro="" textlink="">
        <xdr:nvSpPr>
          <xdr:cNvPr id="170917" name="MMC_R45_C09"/>
          <xdr:cNvSpPr txBox="1"/>
        </xdr:nvSpPr>
        <xdr:spPr>
          <a:xfrm>
            <a:off x="2869120" y="10132430"/>
            <a:ext cx="18529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GSK CNC EQUIPMENT 4%</a:t>
            </a:r>
          </a:p>
        </xdr:txBody>
      </xdr:sp>
      <xdr:sp macro="" textlink="">
        <xdr:nvSpPr>
          <xdr:cNvPr id="170918" name="MMC_R46_C09"/>
          <xdr:cNvSpPr txBox="1"/>
        </xdr:nvSpPr>
        <xdr:spPr>
          <a:xfrm>
            <a:off x="437155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9" name="MMC_R47_C09"/>
          <xdr:cNvSpPr txBox="1"/>
        </xdr:nvSpPr>
        <xdr:spPr>
          <a:xfrm>
            <a:off x="437155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0" name="MMC_R48_C09"/>
          <xdr:cNvSpPr txBox="1"/>
        </xdr:nvSpPr>
        <xdr:spPr>
          <a:xfrm>
            <a:off x="437155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1" name="MMC_R49_C09"/>
          <xdr:cNvSpPr txBox="1"/>
        </xdr:nvSpPr>
        <xdr:spPr>
          <a:xfrm>
            <a:off x="3740462" y="10132430"/>
            <a:ext cx="95134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2" name="MMC_R50_C09"/>
          <xdr:cNvSpPr txBox="1"/>
        </xdr:nvSpPr>
        <xdr:spPr>
          <a:xfrm>
            <a:off x="437155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3" name="MMC_R51_C09"/>
          <xdr:cNvSpPr txBox="1"/>
        </xdr:nvSpPr>
        <xdr:spPr>
          <a:xfrm>
            <a:off x="4270708" y="10132430"/>
            <a:ext cx="2838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4" name="MMC_R52_C09"/>
          <xdr:cNvSpPr txBox="1"/>
        </xdr:nvSpPr>
        <xdr:spPr>
          <a:xfrm>
            <a:off x="3835596" y="10132430"/>
            <a:ext cx="82859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5" name="MMC_R53_C09"/>
          <xdr:cNvSpPr txBox="1"/>
        </xdr:nvSpPr>
        <xdr:spPr>
          <a:xfrm>
            <a:off x="437156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6" name="MMC_R54_C09"/>
          <xdr:cNvSpPr txBox="1"/>
        </xdr:nvSpPr>
        <xdr:spPr>
          <a:xfrm>
            <a:off x="3533998" y="10132430"/>
            <a:ext cx="10817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7" name="MMC_R55_C09"/>
          <xdr:cNvSpPr txBox="1"/>
        </xdr:nvSpPr>
        <xdr:spPr>
          <a:xfrm>
            <a:off x="4347430" y="10132430"/>
            <a:ext cx="1074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8" name="MMC_R56_C09"/>
          <xdr:cNvSpPr txBox="1"/>
        </xdr:nvSpPr>
        <xdr:spPr>
          <a:xfrm>
            <a:off x="437156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9" name="MMC_R57_C09"/>
          <xdr:cNvSpPr txBox="1"/>
        </xdr:nvSpPr>
        <xdr:spPr>
          <a:xfrm>
            <a:off x="437156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0" name="MMC_R58_C09"/>
          <xdr:cNvSpPr txBox="1"/>
        </xdr:nvSpPr>
        <xdr:spPr>
          <a:xfrm>
            <a:off x="437156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1" name="MMC_R59_C09"/>
          <xdr:cNvSpPr txBox="1"/>
        </xdr:nvSpPr>
        <xdr:spPr>
          <a:xfrm>
            <a:off x="437156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2" name="MMC_R60_C09"/>
          <xdr:cNvSpPr txBox="1"/>
        </xdr:nvSpPr>
        <xdr:spPr>
          <a:xfrm>
            <a:off x="4370538" y="10132430"/>
            <a:ext cx="100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3" name="MMC_R61_C09"/>
          <xdr:cNvSpPr txBox="1"/>
        </xdr:nvSpPr>
        <xdr:spPr>
          <a:xfrm>
            <a:off x="437156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4" name="MMC_R62_C09"/>
          <xdr:cNvSpPr txBox="1"/>
        </xdr:nvSpPr>
        <xdr:spPr>
          <a:xfrm>
            <a:off x="437157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5" name="MMC_R63_C09"/>
          <xdr:cNvSpPr txBox="1"/>
        </xdr:nvSpPr>
        <xdr:spPr>
          <a:xfrm>
            <a:off x="437157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6" name="MMC_R64_C09"/>
          <xdr:cNvSpPr txBox="1"/>
        </xdr:nvSpPr>
        <xdr:spPr>
          <a:xfrm>
            <a:off x="437157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7" name="MMC_R65_C09"/>
          <xdr:cNvSpPr txBox="1"/>
        </xdr:nvSpPr>
        <xdr:spPr>
          <a:xfrm>
            <a:off x="437157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8" name="MMC_R66_C09"/>
          <xdr:cNvSpPr txBox="1"/>
        </xdr:nvSpPr>
        <xdr:spPr>
          <a:xfrm>
            <a:off x="437157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9" name="MMC_R67_C09"/>
          <xdr:cNvSpPr txBox="1"/>
        </xdr:nvSpPr>
        <xdr:spPr>
          <a:xfrm>
            <a:off x="437157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0" name="MMC_R68_C09"/>
          <xdr:cNvSpPr txBox="1"/>
        </xdr:nvSpPr>
        <xdr:spPr>
          <a:xfrm>
            <a:off x="437157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1" name="MMC_R69_C09"/>
          <xdr:cNvSpPr txBox="1"/>
        </xdr:nvSpPr>
        <xdr:spPr>
          <a:xfrm>
            <a:off x="437157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2" name="MMC_R70_C09"/>
          <xdr:cNvSpPr txBox="1"/>
        </xdr:nvSpPr>
        <xdr:spPr>
          <a:xfrm>
            <a:off x="437157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3" name="MMC_R71_C09"/>
          <xdr:cNvSpPr txBox="1"/>
        </xdr:nvSpPr>
        <xdr:spPr>
          <a:xfrm>
            <a:off x="437157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4" name="MMC_R72_C09"/>
          <xdr:cNvSpPr txBox="1"/>
        </xdr:nvSpPr>
        <xdr:spPr>
          <a:xfrm>
            <a:off x="437158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5" name="MMC_R73_C09"/>
          <xdr:cNvSpPr txBox="1"/>
        </xdr:nvSpPr>
        <xdr:spPr>
          <a:xfrm>
            <a:off x="437158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6" name="MMC_R74_C09"/>
          <xdr:cNvSpPr txBox="1"/>
        </xdr:nvSpPr>
        <xdr:spPr>
          <a:xfrm>
            <a:off x="437158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7" name="MMC_R75_C09"/>
          <xdr:cNvSpPr txBox="1"/>
        </xdr:nvSpPr>
        <xdr:spPr>
          <a:xfrm>
            <a:off x="437158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8" name="MMC_R76_C09"/>
          <xdr:cNvSpPr txBox="1"/>
        </xdr:nvSpPr>
        <xdr:spPr>
          <a:xfrm>
            <a:off x="437158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9" name="MMC_R77_C09"/>
          <xdr:cNvSpPr txBox="1"/>
        </xdr:nvSpPr>
        <xdr:spPr>
          <a:xfrm>
            <a:off x="437158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0" name="MMC_R78_C09"/>
          <xdr:cNvSpPr txBox="1"/>
        </xdr:nvSpPr>
        <xdr:spPr>
          <a:xfrm>
            <a:off x="437158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1" name="MMC_R79_C09"/>
          <xdr:cNvSpPr txBox="1"/>
        </xdr:nvSpPr>
        <xdr:spPr>
          <a:xfrm>
            <a:off x="437158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2" name="MMC_R80_C09"/>
          <xdr:cNvSpPr txBox="1"/>
        </xdr:nvSpPr>
        <xdr:spPr>
          <a:xfrm>
            <a:off x="437158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3" name="MMC_R81_C09"/>
          <xdr:cNvSpPr txBox="1"/>
        </xdr:nvSpPr>
        <xdr:spPr>
          <a:xfrm>
            <a:off x="4047249" y="10132430"/>
            <a:ext cx="4382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4" name="MMC_R82_C09"/>
          <xdr:cNvSpPr txBox="1"/>
        </xdr:nvSpPr>
        <xdr:spPr>
          <a:xfrm>
            <a:off x="437159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5" name="MMC_R83_C09"/>
          <xdr:cNvSpPr txBox="1"/>
        </xdr:nvSpPr>
        <xdr:spPr>
          <a:xfrm>
            <a:off x="437159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6" name="MMC_R84_C09"/>
          <xdr:cNvSpPr txBox="1"/>
        </xdr:nvSpPr>
        <xdr:spPr>
          <a:xfrm>
            <a:off x="4174583" y="10132430"/>
            <a:ext cx="3299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7" name="MMC_R85_C09"/>
          <xdr:cNvSpPr txBox="1"/>
        </xdr:nvSpPr>
        <xdr:spPr>
          <a:xfrm>
            <a:off x="437159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8" name="MMC_R86_C09"/>
          <xdr:cNvSpPr txBox="1"/>
        </xdr:nvSpPr>
        <xdr:spPr>
          <a:xfrm>
            <a:off x="4207573" y="10132430"/>
            <a:ext cx="31679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9" name="MMC_R87_C09"/>
          <xdr:cNvSpPr txBox="1"/>
        </xdr:nvSpPr>
        <xdr:spPr>
          <a:xfrm>
            <a:off x="437159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0" name="MMC_R88_C09"/>
          <xdr:cNvSpPr txBox="1"/>
        </xdr:nvSpPr>
        <xdr:spPr>
          <a:xfrm>
            <a:off x="437159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1" name="MMC_R89_C09"/>
          <xdr:cNvSpPr txBox="1"/>
        </xdr:nvSpPr>
        <xdr:spPr>
          <a:xfrm>
            <a:off x="437159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2" name="MMC_R90_C09"/>
          <xdr:cNvSpPr txBox="1"/>
        </xdr:nvSpPr>
        <xdr:spPr>
          <a:xfrm>
            <a:off x="437159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3" name="MMC_R91_C09"/>
          <xdr:cNvSpPr txBox="1"/>
        </xdr:nvSpPr>
        <xdr:spPr>
          <a:xfrm>
            <a:off x="437159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4" name="MMC_R92_C09"/>
          <xdr:cNvSpPr txBox="1"/>
        </xdr:nvSpPr>
        <xdr:spPr>
          <a:xfrm>
            <a:off x="4299095" y="10132430"/>
            <a:ext cx="2071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5" name="MMC_R93_C09"/>
          <xdr:cNvSpPr txBox="1"/>
        </xdr:nvSpPr>
        <xdr:spPr>
          <a:xfrm>
            <a:off x="4334387" y="10132430"/>
            <a:ext cx="1304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6" name="MMC_R94_C09"/>
          <xdr:cNvSpPr txBox="1"/>
        </xdr:nvSpPr>
        <xdr:spPr>
          <a:xfrm>
            <a:off x="437160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7" name="MMC_R95_C09"/>
          <xdr:cNvSpPr txBox="1"/>
        </xdr:nvSpPr>
        <xdr:spPr>
          <a:xfrm>
            <a:off x="437160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8" name="MMC_R96_C09"/>
          <xdr:cNvSpPr txBox="1"/>
        </xdr:nvSpPr>
        <xdr:spPr>
          <a:xfrm>
            <a:off x="437160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9" name="MMC_R97_C09"/>
          <xdr:cNvSpPr txBox="1"/>
        </xdr:nvSpPr>
        <xdr:spPr>
          <a:xfrm>
            <a:off x="437160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0" name="MMC_R98_C09"/>
          <xdr:cNvSpPr txBox="1"/>
        </xdr:nvSpPr>
        <xdr:spPr>
          <a:xfrm>
            <a:off x="437160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1" name="MMC_R99_C09"/>
          <xdr:cNvSpPr txBox="1"/>
        </xdr:nvSpPr>
        <xdr:spPr>
          <a:xfrm>
            <a:off x="4371589" y="10132430"/>
            <a:ext cx="140696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31%</a:t>
            </a:r>
          </a:p>
        </xdr:txBody>
      </xdr:sp>
      <xdr:sp macro="" textlink="">
        <xdr:nvSpPr>
          <xdr:cNvPr id="170972" name="MMC_R01_C10"/>
          <xdr:cNvSpPr txBox="1"/>
        </xdr:nvSpPr>
        <xdr:spPr>
          <a:xfrm>
            <a:off x="4695014" y="10836873"/>
            <a:ext cx="20941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5%</a:t>
            </a:r>
          </a:p>
        </xdr:txBody>
      </xdr:sp>
      <xdr:sp macro="" textlink="">
        <xdr:nvSpPr>
          <xdr:cNvPr id="170973" name="MMC_R02_C10"/>
          <xdr:cNvSpPr txBox="1"/>
        </xdr:nvSpPr>
        <xdr:spPr>
          <a:xfrm>
            <a:off x="5120504" y="10836873"/>
            <a:ext cx="72776" cy="66057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4" name="MMC_R03_C10"/>
          <xdr:cNvSpPr txBox="1"/>
        </xdr:nvSpPr>
        <xdr:spPr>
          <a:xfrm>
            <a:off x="4168165" y="10836873"/>
            <a:ext cx="29727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7%</a:t>
            </a:r>
          </a:p>
        </xdr:txBody>
      </xdr:sp>
      <xdr:sp macro="" textlink="">
        <xdr:nvSpPr>
          <xdr:cNvPr id="170975" name="MMC_R04_C10"/>
          <xdr:cNvSpPr txBox="1"/>
        </xdr:nvSpPr>
        <xdr:spPr>
          <a:xfrm>
            <a:off x="538833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6" name="MMC_R05_C10"/>
          <xdr:cNvSpPr txBox="1"/>
        </xdr:nvSpPr>
        <xdr:spPr>
          <a:xfrm>
            <a:off x="538833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7" name="MMC_R06_C10"/>
          <xdr:cNvSpPr txBox="1"/>
        </xdr:nvSpPr>
        <xdr:spPr>
          <a:xfrm>
            <a:off x="538826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8" name="MMC_R07_C10"/>
          <xdr:cNvSpPr txBox="1"/>
        </xdr:nvSpPr>
        <xdr:spPr>
          <a:xfrm>
            <a:off x="2878677" y="10836873"/>
            <a:ext cx="68566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15%</a:t>
            </a:r>
          </a:p>
        </xdr:txBody>
      </xdr:sp>
      <xdr:sp macro="" textlink="">
        <xdr:nvSpPr>
          <xdr:cNvPr id="170979" name="MMC_R08_C10"/>
          <xdr:cNvSpPr txBox="1"/>
        </xdr:nvSpPr>
        <xdr:spPr>
          <a:xfrm>
            <a:off x="538833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0" name="MMC_R09_C10"/>
          <xdr:cNvSpPr txBox="1"/>
        </xdr:nvSpPr>
        <xdr:spPr>
          <a:xfrm>
            <a:off x="4904432" y="10836873"/>
            <a:ext cx="108074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1" name="MMC_R10_C10"/>
          <xdr:cNvSpPr txBox="1"/>
        </xdr:nvSpPr>
        <xdr:spPr>
          <a:xfrm>
            <a:off x="5012506" y="10836873"/>
            <a:ext cx="10799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2" name="MMC_R11_C10"/>
          <xdr:cNvSpPr txBox="1"/>
        </xdr:nvSpPr>
        <xdr:spPr>
          <a:xfrm>
            <a:off x="538826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3" name="MMC_R12_C10"/>
          <xdr:cNvSpPr txBox="1"/>
        </xdr:nvSpPr>
        <xdr:spPr>
          <a:xfrm>
            <a:off x="538827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4" name="MMC_R13_C10"/>
          <xdr:cNvSpPr txBox="1"/>
        </xdr:nvSpPr>
        <xdr:spPr>
          <a:xfrm>
            <a:off x="538828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5" name="MMC_R14_C10"/>
          <xdr:cNvSpPr txBox="1"/>
        </xdr:nvSpPr>
        <xdr:spPr>
          <a:xfrm>
            <a:off x="538831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6" name="MMC_R15_C10"/>
          <xdr:cNvSpPr txBox="1"/>
        </xdr:nvSpPr>
        <xdr:spPr>
          <a:xfrm>
            <a:off x="538832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7" name="MMC_R16_C10"/>
          <xdr:cNvSpPr txBox="1"/>
        </xdr:nvSpPr>
        <xdr:spPr>
          <a:xfrm>
            <a:off x="3564339" y="10836873"/>
            <a:ext cx="603826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Sunx 13%</a:t>
            </a:r>
          </a:p>
        </xdr:txBody>
      </xdr:sp>
      <xdr:sp macro="" textlink="">
        <xdr:nvSpPr>
          <xdr:cNvPr id="170988" name="MMC_R17_C10"/>
          <xdr:cNvSpPr txBox="1"/>
        </xdr:nvSpPr>
        <xdr:spPr>
          <a:xfrm>
            <a:off x="1206500" y="10836873"/>
            <a:ext cx="167217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37%</a:t>
            </a:r>
          </a:p>
        </xdr:txBody>
      </xdr:sp>
      <xdr:sp macro="" textlink="">
        <xdr:nvSpPr>
          <xdr:cNvPr id="170989" name="MMC_R18_C10"/>
          <xdr:cNvSpPr txBox="1"/>
        </xdr:nvSpPr>
        <xdr:spPr>
          <a:xfrm>
            <a:off x="5347416" y="10836873"/>
            <a:ext cx="1521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0" name="MMC_R19_C10"/>
          <xdr:cNvSpPr txBox="1"/>
        </xdr:nvSpPr>
        <xdr:spPr>
          <a:xfrm>
            <a:off x="538825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1" name="MMC_R20_C10"/>
          <xdr:cNvSpPr txBox="1"/>
        </xdr:nvSpPr>
        <xdr:spPr>
          <a:xfrm>
            <a:off x="538825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2" name="MMC_R21_C10"/>
          <xdr:cNvSpPr txBox="1"/>
        </xdr:nvSpPr>
        <xdr:spPr>
          <a:xfrm>
            <a:off x="5362634" y="10836873"/>
            <a:ext cx="1026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3" name="MMC_R22_C10"/>
          <xdr:cNvSpPr txBox="1"/>
        </xdr:nvSpPr>
        <xdr:spPr>
          <a:xfrm>
            <a:off x="538826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4" name="MMC_R23_C10"/>
          <xdr:cNvSpPr txBox="1"/>
        </xdr:nvSpPr>
        <xdr:spPr>
          <a:xfrm>
            <a:off x="538826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5" name="MMC_R24_C10"/>
          <xdr:cNvSpPr txBox="1"/>
        </xdr:nvSpPr>
        <xdr:spPr>
          <a:xfrm>
            <a:off x="5193280" y="10836873"/>
            <a:ext cx="4745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6" name="MMC_R25_C10"/>
          <xdr:cNvSpPr txBox="1"/>
        </xdr:nvSpPr>
        <xdr:spPr>
          <a:xfrm>
            <a:off x="538826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7" name="MMC_R26_C10"/>
          <xdr:cNvSpPr txBox="1"/>
        </xdr:nvSpPr>
        <xdr:spPr>
          <a:xfrm>
            <a:off x="538826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8" name="MMC_R27_C10"/>
          <xdr:cNvSpPr txBox="1"/>
        </xdr:nvSpPr>
        <xdr:spPr>
          <a:xfrm>
            <a:off x="538826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9" name="MMC_R28_C10"/>
          <xdr:cNvSpPr txBox="1"/>
        </xdr:nvSpPr>
        <xdr:spPr>
          <a:xfrm>
            <a:off x="538826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0" name="MMC_R29_C10"/>
          <xdr:cNvSpPr txBox="1"/>
        </xdr:nvSpPr>
        <xdr:spPr>
          <a:xfrm>
            <a:off x="538826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1" name="MMC_R30_C10"/>
          <xdr:cNvSpPr txBox="1"/>
        </xdr:nvSpPr>
        <xdr:spPr>
          <a:xfrm>
            <a:off x="538826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2" name="MMC_R31_C10"/>
          <xdr:cNvSpPr txBox="1"/>
        </xdr:nvSpPr>
        <xdr:spPr>
          <a:xfrm>
            <a:off x="538827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3" name="MMC_R32_C10"/>
          <xdr:cNvSpPr txBox="1"/>
        </xdr:nvSpPr>
        <xdr:spPr>
          <a:xfrm>
            <a:off x="5240733" y="10836873"/>
            <a:ext cx="4693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4" name="MMC_R33_C10"/>
          <xdr:cNvSpPr txBox="1"/>
        </xdr:nvSpPr>
        <xdr:spPr>
          <a:xfrm>
            <a:off x="538827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5" name="MMC_R34_C10"/>
          <xdr:cNvSpPr txBox="1"/>
        </xdr:nvSpPr>
        <xdr:spPr>
          <a:xfrm>
            <a:off x="538827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6" name="MMC_R35_C10"/>
          <xdr:cNvSpPr txBox="1"/>
        </xdr:nvSpPr>
        <xdr:spPr>
          <a:xfrm>
            <a:off x="538827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7" name="MMC_R36_C10"/>
          <xdr:cNvSpPr txBox="1"/>
        </xdr:nvSpPr>
        <xdr:spPr>
          <a:xfrm>
            <a:off x="538827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8" name="MMC_R37_C10"/>
          <xdr:cNvSpPr txBox="1"/>
        </xdr:nvSpPr>
        <xdr:spPr>
          <a:xfrm>
            <a:off x="538827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9" name="MMC_R38_C10"/>
          <xdr:cNvSpPr txBox="1"/>
        </xdr:nvSpPr>
        <xdr:spPr>
          <a:xfrm>
            <a:off x="538827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0" name="MMC_R39_C10"/>
          <xdr:cNvSpPr txBox="1"/>
        </xdr:nvSpPr>
        <xdr:spPr>
          <a:xfrm>
            <a:off x="538827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1" name="MMC_R40_C10"/>
          <xdr:cNvSpPr txBox="1"/>
        </xdr:nvSpPr>
        <xdr:spPr>
          <a:xfrm>
            <a:off x="538827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2" name="MMC_R41_C10"/>
          <xdr:cNvSpPr txBox="1"/>
        </xdr:nvSpPr>
        <xdr:spPr>
          <a:xfrm>
            <a:off x="538828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3" name="MMC_R42_C10"/>
          <xdr:cNvSpPr txBox="1"/>
        </xdr:nvSpPr>
        <xdr:spPr>
          <a:xfrm>
            <a:off x="4465437" y="10836873"/>
            <a:ext cx="22957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Contec 5%</a:t>
            </a:r>
          </a:p>
        </xdr:txBody>
      </xdr:sp>
      <xdr:sp macro="" textlink="">
        <xdr:nvSpPr>
          <xdr:cNvPr id="171014" name="MMC_R43_C10"/>
          <xdr:cNvSpPr txBox="1"/>
        </xdr:nvSpPr>
        <xdr:spPr>
          <a:xfrm>
            <a:off x="538828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5" name="MMC_R44_C10"/>
          <xdr:cNvSpPr txBox="1"/>
        </xdr:nvSpPr>
        <xdr:spPr>
          <a:xfrm>
            <a:off x="538828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6" name="MMC_R45_C10"/>
          <xdr:cNvSpPr txBox="1"/>
        </xdr:nvSpPr>
        <xdr:spPr>
          <a:xfrm>
            <a:off x="538828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7" name="MMC_R46_C10"/>
          <xdr:cNvSpPr txBox="1"/>
        </xdr:nvSpPr>
        <xdr:spPr>
          <a:xfrm>
            <a:off x="538828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8" name="MMC_R47_C10"/>
          <xdr:cNvSpPr txBox="1"/>
        </xdr:nvSpPr>
        <xdr:spPr>
          <a:xfrm>
            <a:off x="538828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9" name="MMC_R48_C10"/>
          <xdr:cNvSpPr txBox="1"/>
        </xdr:nvSpPr>
        <xdr:spPr>
          <a:xfrm>
            <a:off x="538828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0" name="MMC_R49_C10"/>
          <xdr:cNvSpPr txBox="1"/>
        </xdr:nvSpPr>
        <xdr:spPr>
          <a:xfrm>
            <a:off x="538828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1" name="MMC_R50_C10"/>
          <xdr:cNvSpPr txBox="1"/>
        </xdr:nvSpPr>
        <xdr:spPr>
          <a:xfrm>
            <a:off x="538828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2" name="MMC_R51_C10"/>
          <xdr:cNvSpPr txBox="1"/>
        </xdr:nvSpPr>
        <xdr:spPr>
          <a:xfrm>
            <a:off x="538829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3" name="MMC_R52_C10"/>
          <xdr:cNvSpPr txBox="1"/>
        </xdr:nvSpPr>
        <xdr:spPr>
          <a:xfrm>
            <a:off x="538829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4" name="MMC_R53_C10"/>
          <xdr:cNvSpPr txBox="1"/>
        </xdr:nvSpPr>
        <xdr:spPr>
          <a:xfrm>
            <a:off x="538829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5" name="MMC_R54_C10"/>
          <xdr:cNvSpPr txBox="1"/>
        </xdr:nvSpPr>
        <xdr:spPr>
          <a:xfrm>
            <a:off x="538829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6" name="MMC_R55_C10"/>
          <xdr:cNvSpPr txBox="1"/>
        </xdr:nvSpPr>
        <xdr:spPr>
          <a:xfrm>
            <a:off x="538829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7" name="MMC_R56_C10"/>
          <xdr:cNvSpPr txBox="1"/>
        </xdr:nvSpPr>
        <xdr:spPr>
          <a:xfrm>
            <a:off x="538829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8" name="MMC_R57_C10"/>
          <xdr:cNvSpPr txBox="1"/>
        </xdr:nvSpPr>
        <xdr:spPr>
          <a:xfrm>
            <a:off x="538829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9" name="MMC_R58_C10"/>
          <xdr:cNvSpPr txBox="1"/>
        </xdr:nvSpPr>
        <xdr:spPr>
          <a:xfrm>
            <a:off x="538829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0" name="MMC_R59_C10"/>
          <xdr:cNvSpPr txBox="1"/>
        </xdr:nvSpPr>
        <xdr:spPr>
          <a:xfrm>
            <a:off x="538829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1" name="MMC_R60_C10"/>
          <xdr:cNvSpPr txBox="1"/>
        </xdr:nvSpPr>
        <xdr:spPr>
          <a:xfrm>
            <a:off x="538829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2" name="MMC_R61_C10"/>
          <xdr:cNvSpPr txBox="1"/>
        </xdr:nvSpPr>
        <xdr:spPr>
          <a:xfrm>
            <a:off x="538830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3" name="MMC_R62_C10"/>
          <xdr:cNvSpPr txBox="1"/>
        </xdr:nvSpPr>
        <xdr:spPr>
          <a:xfrm>
            <a:off x="538830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4" name="MMC_R63_C10"/>
          <xdr:cNvSpPr txBox="1"/>
        </xdr:nvSpPr>
        <xdr:spPr>
          <a:xfrm>
            <a:off x="538830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5" name="MMC_R64_C10"/>
          <xdr:cNvSpPr txBox="1"/>
        </xdr:nvSpPr>
        <xdr:spPr>
          <a:xfrm>
            <a:off x="538830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6" name="MMC_R65_C10"/>
          <xdr:cNvSpPr txBox="1"/>
        </xdr:nvSpPr>
        <xdr:spPr>
          <a:xfrm>
            <a:off x="538830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7" name="MMC_R66_C10"/>
          <xdr:cNvSpPr txBox="1"/>
        </xdr:nvSpPr>
        <xdr:spPr>
          <a:xfrm>
            <a:off x="538830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8" name="MMC_R67_C10"/>
          <xdr:cNvSpPr txBox="1"/>
        </xdr:nvSpPr>
        <xdr:spPr>
          <a:xfrm>
            <a:off x="538830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9" name="MMC_R68_C10"/>
          <xdr:cNvSpPr txBox="1"/>
        </xdr:nvSpPr>
        <xdr:spPr>
          <a:xfrm>
            <a:off x="538830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0" name="MMC_R69_C10"/>
          <xdr:cNvSpPr txBox="1"/>
        </xdr:nvSpPr>
        <xdr:spPr>
          <a:xfrm>
            <a:off x="538830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1" name="MMC_R70_C10"/>
          <xdr:cNvSpPr txBox="1"/>
        </xdr:nvSpPr>
        <xdr:spPr>
          <a:xfrm>
            <a:off x="538830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2" name="MMC_R71_C10"/>
          <xdr:cNvSpPr txBox="1"/>
        </xdr:nvSpPr>
        <xdr:spPr>
          <a:xfrm>
            <a:off x="538831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3" name="MMC_R72_C10"/>
          <xdr:cNvSpPr txBox="1"/>
        </xdr:nvSpPr>
        <xdr:spPr>
          <a:xfrm>
            <a:off x="538831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4" name="MMC_R73_C10"/>
          <xdr:cNvSpPr txBox="1"/>
        </xdr:nvSpPr>
        <xdr:spPr>
          <a:xfrm>
            <a:off x="538831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5" name="MMC_R74_C10"/>
          <xdr:cNvSpPr txBox="1"/>
        </xdr:nvSpPr>
        <xdr:spPr>
          <a:xfrm>
            <a:off x="538831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6" name="MMC_R75_C10"/>
          <xdr:cNvSpPr txBox="1"/>
        </xdr:nvSpPr>
        <xdr:spPr>
          <a:xfrm>
            <a:off x="538831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7" name="MMC_R76_C10"/>
          <xdr:cNvSpPr txBox="1"/>
        </xdr:nvSpPr>
        <xdr:spPr>
          <a:xfrm>
            <a:off x="538831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8" name="MMC_R77_C10"/>
          <xdr:cNvSpPr txBox="1"/>
        </xdr:nvSpPr>
        <xdr:spPr>
          <a:xfrm>
            <a:off x="538831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9" name="MMC_R78_C10"/>
          <xdr:cNvSpPr txBox="1"/>
        </xdr:nvSpPr>
        <xdr:spPr>
          <a:xfrm>
            <a:off x="5287671" y="10836873"/>
            <a:ext cx="3063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0" name="MMC_R79_C10"/>
          <xdr:cNvSpPr txBox="1"/>
        </xdr:nvSpPr>
        <xdr:spPr>
          <a:xfrm>
            <a:off x="538831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1" name="MMC_R80_C10"/>
          <xdr:cNvSpPr txBox="1"/>
        </xdr:nvSpPr>
        <xdr:spPr>
          <a:xfrm>
            <a:off x="538831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2" name="MMC_R81_C10"/>
          <xdr:cNvSpPr txBox="1"/>
        </xdr:nvSpPr>
        <xdr:spPr>
          <a:xfrm>
            <a:off x="538832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3" name="MMC_R82_C10"/>
          <xdr:cNvSpPr txBox="1"/>
        </xdr:nvSpPr>
        <xdr:spPr>
          <a:xfrm>
            <a:off x="538832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4" name="MMC_R83_C10"/>
          <xdr:cNvSpPr txBox="1"/>
        </xdr:nvSpPr>
        <xdr:spPr>
          <a:xfrm>
            <a:off x="538832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5" name="MMC_R84_C10"/>
          <xdr:cNvSpPr txBox="1"/>
        </xdr:nvSpPr>
        <xdr:spPr>
          <a:xfrm>
            <a:off x="538832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6" name="MMC_R85_C10"/>
          <xdr:cNvSpPr txBox="1"/>
        </xdr:nvSpPr>
        <xdr:spPr>
          <a:xfrm>
            <a:off x="538832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7" name="MMC_R86_C10"/>
          <xdr:cNvSpPr txBox="1"/>
        </xdr:nvSpPr>
        <xdr:spPr>
          <a:xfrm>
            <a:off x="538832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8" name="MMC_R87_C10"/>
          <xdr:cNvSpPr txBox="1"/>
        </xdr:nvSpPr>
        <xdr:spPr>
          <a:xfrm>
            <a:off x="538832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9" name="MMC_R88_C10"/>
          <xdr:cNvSpPr txBox="1"/>
        </xdr:nvSpPr>
        <xdr:spPr>
          <a:xfrm>
            <a:off x="538832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0" name="MMC_R89_C10"/>
          <xdr:cNvSpPr txBox="1"/>
        </xdr:nvSpPr>
        <xdr:spPr>
          <a:xfrm>
            <a:off x="5318303" y="10836873"/>
            <a:ext cx="2911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1" name="MMC_R90_C10"/>
          <xdr:cNvSpPr txBox="1"/>
        </xdr:nvSpPr>
        <xdr:spPr>
          <a:xfrm>
            <a:off x="538832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2" name="MMC_R91_C10"/>
          <xdr:cNvSpPr txBox="1"/>
        </xdr:nvSpPr>
        <xdr:spPr>
          <a:xfrm>
            <a:off x="5386622" y="10836873"/>
            <a:ext cx="1636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3" name="MMC_R92_C10"/>
          <xdr:cNvSpPr txBox="1"/>
        </xdr:nvSpPr>
        <xdr:spPr>
          <a:xfrm>
            <a:off x="538833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4" name="MMC_R93_C10"/>
          <xdr:cNvSpPr txBox="1"/>
        </xdr:nvSpPr>
        <xdr:spPr>
          <a:xfrm>
            <a:off x="538833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5" name="MMC_R94_C10"/>
          <xdr:cNvSpPr txBox="1"/>
        </xdr:nvSpPr>
        <xdr:spPr>
          <a:xfrm>
            <a:off x="538833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6" name="MMC_R95_C10"/>
          <xdr:cNvSpPr txBox="1"/>
        </xdr:nvSpPr>
        <xdr:spPr>
          <a:xfrm>
            <a:off x="538833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7" name="MMC_R96_C10"/>
          <xdr:cNvSpPr txBox="1"/>
        </xdr:nvSpPr>
        <xdr:spPr>
          <a:xfrm>
            <a:off x="538833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8" name="MMC_R97_C10"/>
          <xdr:cNvSpPr txBox="1"/>
        </xdr:nvSpPr>
        <xdr:spPr>
          <a:xfrm>
            <a:off x="5372902" y="10836873"/>
            <a:ext cx="826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9" name="MMC_R98_C10"/>
          <xdr:cNvSpPr txBox="1"/>
        </xdr:nvSpPr>
        <xdr:spPr>
          <a:xfrm>
            <a:off x="5381165" y="10836873"/>
            <a:ext cx="545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70" name="MMC_R99_C10"/>
          <xdr:cNvSpPr txBox="1"/>
        </xdr:nvSpPr>
        <xdr:spPr>
          <a:xfrm>
            <a:off x="5388323" y="10836873"/>
            <a:ext cx="39024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71071" name="MMC_R01_C11"/>
          <xdr:cNvSpPr txBox="1"/>
        </xdr:nvSpPr>
        <xdr:spPr>
          <a:xfrm>
            <a:off x="1206500" y="11497445"/>
            <a:ext cx="77593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17%</a:t>
            </a:r>
          </a:p>
        </xdr:txBody>
      </xdr:sp>
      <xdr:sp macro="" textlink="">
        <xdr:nvSpPr>
          <xdr:cNvPr id="171072" name="MMC_R02_C11"/>
          <xdr:cNvSpPr txBox="1"/>
        </xdr:nvSpPr>
        <xdr:spPr>
          <a:xfrm>
            <a:off x="2426022" y="11497445"/>
            <a:ext cx="321302" cy="53047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171073" name="MMC_R03_C11"/>
          <xdr:cNvSpPr txBox="1"/>
        </xdr:nvSpPr>
        <xdr:spPr>
          <a:xfrm>
            <a:off x="4429471" y="11497445"/>
            <a:ext cx="1772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74" name="MMC_R04_C11"/>
          <xdr:cNvSpPr txBox="1"/>
        </xdr:nvSpPr>
        <xdr:spPr>
          <a:xfrm>
            <a:off x="2747324" y="11497445"/>
            <a:ext cx="31234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71075" name="MMC_R05_C11"/>
          <xdr:cNvSpPr txBox="1"/>
        </xdr:nvSpPr>
        <xdr:spPr>
          <a:xfrm>
            <a:off x="3059667" y="11497445"/>
            <a:ext cx="22633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Yokogawa 5%</a:t>
            </a:r>
          </a:p>
        </xdr:txBody>
      </xdr:sp>
      <xdr:sp macro="" textlink="">
        <xdr:nvSpPr>
          <xdr:cNvPr id="171076" name="MMC_R06_C11"/>
          <xdr:cNvSpPr txBox="1"/>
        </xdr:nvSpPr>
        <xdr:spPr>
          <a:xfrm>
            <a:off x="3285997" y="11497445"/>
            <a:ext cx="22266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5%</a:t>
            </a:r>
          </a:p>
        </xdr:txBody>
      </xdr:sp>
      <xdr:sp macro="" textlink="">
        <xdr:nvSpPr>
          <xdr:cNvPr id="171077" name="MMC_R07_C11"/>
          <xdr:cNvSpPr txBox="1"/>
        </xdr:nvSpPr>
        <xdr:spPr>
          <a:xfrm>
            <a:off x="453724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78" name="MMC_R08_C11"/>
          <xdr:cNvSpPr txBox="1"/>
        </xdr:nvSpPr>
        <xdr:spPr>
          <a:xfrm>
            <a:off x="3799427" y="11497445"/>
            <a:ext cx="9635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79" name="MMC_R09_C11"/>
          <xdr:cNvSpPr txBox="1"/>
        </xdr:nvSpPr>
        <xdr:spPr>
          <a:xfrm>
            <a:off x="453721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0" name="MMC_R10_C11"/>
          <xdr:cNvSpPr txBox="1"/>
        </xdr:nvSpPr>
        <xdr:spPr>
          <a:xfrm>
            <a:off x="4153735" y="11497445"/>
            <a:ext cx="54748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1" name="MMC_R11_C11"/>
          <xdr:cNvSpPr txBox="1"/>
        </xdr:nvSpPr>
        <xdr:spPr>
          <a:xfrm>
            <a:off x="453719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2" name="MMC_R12_C11"/>
          <xdr:cNvSpPr txBox="1"/>
        </xdr:nvSpPr>
        <xdr:spPr>
          <a:xfrm>
            <a:off x="453720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3" name="MMC_R13_C11"/>
          <xdr:cNvSpPr txBox="1"/>
        </xdr:nvSpPr>
        <xdr:spPr>
          <a:xfrm>
            <a:off x="4098691" y="11497445"/>
            <a:ext cx="5504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4" name="MMC_R14_C11"/>
          <xdr:cNvSpPr txBox="1"/>
        </xdr:nvSpPr>
        <xdr:spPr>
          <a:xfrm>
            <a:off x="453721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5" name="MMC_R15_C11"/>
          <xdr:cNvSpPr txBox="1"/>
        </xdr:nvSpPr>
        <xdr:spPr>
          <a:xfrm>
            <a:off x="453722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6" name="MMC_R16_C11"/>
          <xdr:cNvSpPr txBox="1"/>
        </xdr:nvSpPr>
        <xdr:spPr>
          <a:xfrm>
            <a:off x="453723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7" name="MMC_R17_C11"/>
          <xdr:cNvSpPr txBox="1"/>
        </xdr:nvSpPr>
        <xdr:spPr>
          <a:xfrm>
            <a:off x="453723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8" name="MMC_R18_C11"/>
          <xdr:cNvSpPr txBox="1"/>
        </xdr:nvSpPr>
        <xdr:spPr>
          <a:xfrm>
            <a:off x="4338288" y="11497445"/>
            <a:ext cx="3449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9" name="MMC_R19_C11"/>
          <xdr:cNvSpPr txBox="1"/>
        </xdr:nvSpPr>
        <xdr:spPr>
          <a:xfrm>
            <a:off x="453719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0" name="MMC_R20_C11"/>
          <xdr:cNvSpPr txBox="1"/>
        </xdr:nvSpPr>
        <xdr:spPr>
          <a:xfrm>
            <a:off x="4529817" y="11497445"/>
            <a:ext cx="2959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1" name="MMC_R21_C11"/>
          <xdr:cNvSpPr txBox="1"/>
        </xdr:nvSpPr>
        <xdr:spPr>
          <a:xfrm>
            <a:off x="4302306" y="11497445"/>
            <a:ext cx="3598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2" name="MMC_R22_C11"/>
          <xdr:cNvSpPr txBox="1"/>
        </xdr:nvSpPr>
        <xdr:spPr>
          <a:xfrm>
            <a:off x="453721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3" name="MMC_R23_C11"/>
          <xdr:cNvSpPr txBox="1"/>
        </xdr:nvSpPr>
        <xdr:spPr>
          <a:xfrm>
            <a:off x="4464664" y="11497445"/>
            <a:ext cx="16926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4" name="MMC_R24_C11"/>
          <xdr:cNvSpPr txBox="1"/>
        </xdr:nvSpPr>
        <xdr:spPr>
          <a:xfrm>
            <a:off x="4447194" y="11497445"/>
            <a:ext cx="1747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5" name="MMC_R25_C11"/>
          <xdr:cNvSpPr txBox="1"/>
        </xdr:nvSpPr>
        <xdr:spPr>
          <a:xfrm>
            <a:off x="4404197" y="11497445"/>
            <a:ext cx="2527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6" name="MMC_R26_C11"/>
          <xdr:cNvSpPr txBox="1"/>
        </xdr:nvSpPr>
        <xdr:spPr>
          <a:xfrm>
            <a:off x="4481590" y="11497445"/>
            <a:ext cx="16635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7" name="MMC_R27_C11"/>
          <xdr:cNvSpPr txBox="1"/>
        </xdr:nvSpPr>
        <xdr:spPr>
          <a:xfrm>
            <a:off x="4372780" y="11497445"/>
            <a:ext cx="3141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8" name="MMC_R28_C11"/>
          <xdr:cNvSpPr txBox="1"/>
        </xdr:nvSpPr>
        <xdr:spPr>
          <a:xfrm>
            <a:off x="453723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9" name="MMC_R29_C11"/>
          <xdr:cNvSpPr txBox="1"/>
        </xdr:nvSpPr>
        <xdr:spPr>
          <a:xfrm>
            <a:off x="1982432" y="11497445"/>
            <a:ext cx="44359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Idec 10%</a:t>
            </a:r>
          </a:p>
        </xdr:txBody>
      </xdr:sp>
      <xdr:sp macro="" textlink="">
        <xdr:nvSpPr>
          <xdr:cNvPr id="171100" name="MMC_R30_C11"/>
          <xdr:cNvSpPr txBox="1"/>
        </xdr:nvSpPr>
        <xdr:spPr>
          <a:xfrm>
            <a:off x="453725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1" name="MMC_R31_C11"/>
          <xdr:cNvSpPr txBox="1"/>
        </xdr:nvSpPr>
        <xdr:spPr>
          <a:xfrm>
            <a:off x="453719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2" name="MMC_R32_C11"/>
          <xdr:cNvSpPr txBox="1"/>
        </xdr:nvSpPr>
        <xdr:spPr>
          <a:xfrm>
            <a:off x="453719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3" name="MMC_R33_C11"/>
          <xdr:cNvSpPr txBox="1"/>
        </xdr:nvSpPr>
        <xdr:spPr>
          <a:xfrm>
            <a:off x="4498225" y="11497445"/>
            <a:ext cx="1358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4" name="MMC_R34_C11"/>
          <xdr:cNvSpPr txBox="1"/>
        </xdr:nvSpPr>
        <xdr:spPr>
          <a:xfrm>
            <a:off x="453719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5" name="MMC_R35_C11"/>
          <xdr:cNvSpPr txBox="1"/>
        </xdr:nvSpPr>
        <xdr:spPr>
          <a:xfrm>
            <a:off x="453719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6" name="MMC_R36_C11"/>
          <xdr:cNvSpPr txBox="1"/>
        </xdr:nvSpPr>
        <xdr:spPr>
          <a:xfrm>
            <a:off x="453719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7" name="MMC_R37_C11"/>
          <xdr:cNvSpPr txBox="1"/>
        </xdr:nvSpPr>
        <xdr:spPr>
          <a:xfrm>
            <a:off x="453719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8" name="MMC_R38_C11"/>
          <xdr:cNvSpPr txBox="1"/>
        </xdr:nvSpPr>
        <xdr:spPr>
          <a:xfrm>
            <a:off x="3508660" y="11497445"/>
            <a:ext cx="18557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Oriental Motor 4%</a:t>
            </a:r>
          </a:p>
        </xdr:txBody>
      </xdr:sp>
      <xdr:sp macro="" textlink="">
        <xdr:nvSpPr>
          <xdr:cNvPr id="171109" name="MMC_R39_C11"/>
          <xdr:cNvSpPr txBox="1"/>
        </xdr:nvSpPr>
        <xdr:spPr>
          <a:xfrm>
            <a:off x="453719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0" name="MMC_R40_C11"/>
          <xdr:cNvSpPr txBox="1"/>
        </xdr:nvSpPr>
        <xdr:spPr>
          <a:xfrm>
            <a:off x="453719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1" name="MMC_R41_C11"/>
          <xdr:cNvSpPr txBox="1"/>
        </xdr:nvSpPr>
        <xdr:spPr>
          <a:xfrm>
            <a:off x="453720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2" name="MMC_R42_C11"/>
          <xdr:cNvSpPr txBox="1"/>
        </xdr:nvSpPr>
        <xdr:spPr>
          <a:xfrm>
            <a:off x="453720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3" name="MMC_R43_C11"/>
          <xdr:cNvSpPr txBox="1"/>
        </xdr:nvSpPr>
        <xdr:spPr>
          <a:xfrm>
            <a:off x="4511812" y="11497445"/>
            <a:ext cx="1180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4" name="MMC_R44_C11"/>
          <xdr:cNvSpPr txBox="1"/>
        </xdr:nvSpPr>
        <xdr:spPr>
          <a:xfrm>
            <a:off x="453720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5" name="MMC_R45_C11"/>
          <xdr:cNvSpPr txBox="1"/>
        </xdr:nvSpPr>
        <xdr:spPr>
          <a:xfrm>
            <a:off x="453720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6" name="MMC_R46_C11"/>
          <xdr:cNvSpPr txBox="1"/>
        </xdr:nvSpPr>
        <xdr:spPr>
          <a:xfrm>
            <a:off x="453720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7" name="MMC_R47_C11"/>
          <xdr:cNvSpPr txBox="1"/>
        </xdr:nvSpPr>
        <xdr:spPr>
          <a:xfrm>
            <a:off x="453720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8" name="MMC_R48_C11"/>
          <xdr:cNvSpPr txBox="1"/>
        </xdr:nvSpPr>
        <xdr:spPr>
          <a:xfrm>
            <a:off x="453720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9" name="MMC_R49_C11"/>
          <xdr:cNvSpPr txBox="1"/>
        </xdr:nvSpPr>
        <xdr:spPr>
          <a:xfrm>
            <a:off x="453720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0" name="MMC_R50_C11"/>
          <xdr:cNvSpPr txBox="1"/>
        </xdr:nvSpPr>
        <xdr:spPr>
          <a:xfrm>
            <a:off x="453720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1" name="MMC_R51_C11"/>
          <xdr:cNvSpPr txBox="1"/>
        </xdr:nvSpPr>
        <xdr:spPr>
          <a:xfrm>
            <a:off x="4260734" y="11497445"/>
            <a:ext cx="4157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2" name="MMC_R52_C11"/>
          <xdr:cNvSpPr txBox="1"/>
        </xdr:nvSpPr>
        <xdr:spPr>
          <a:xfrm>
            <a:off x="453721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3" name="MMC_R53_C11"/>
          <xdr:cNvSpPr txBox="1"/>
        </xdr:nvSpPr>
        <xdr:spPr>
          <a:xfrm>
            <a:off x="4532776" y="11497445"/>
            <a:ext cx="233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4" name="MMC_R54_C11"/>
          <xdr:cNvSpPr txBox="1"/>
        </xdr:nvSpPr>
        <xdr:spPr>
          <a:xfrm>
            <a:off x="453721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5" name="MMC_R55_C11"/>
          <xdr:cNvSpPr txBox="1"/>
        </xdr:nvSpPr>
        <xdr:spPr>
          <a:xfrm>
            <a:off x="4535108" y="11497445"/>
            <a:ext cx="208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6" name="MMC_R56_C11"/>
          <xdr:cNvSpPr txBox="1"/>
        </xdr:nvSpPr>
        <xdr:spPr>
          <a:xfrm>
            <a:off x="453721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7" name="MMC_R57_C11"/>
          <xdr:cNvSpPr txBox="1"/>
        </xdr:nvSpPr>
        <xdr:spPr>
          <a:xfrm>
            <a:off x="453721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8" name="MMC_R58_C11"/>
          <xdr:cNvSpPr txBox="1"/>
        </xdr:nvSpPr>
        <xdr:spPr>
          <a:xfrm>
            <a:off x="453721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9" name="MMC_R59_C11"/>
          <xdr:cNvSpPr txBox="1"/>
        </xdr:nvSpPr>
        <xdr:spPr>
          <a:xfrm>
            <a:off x="453721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0" name="MMC_R60_C11"/>
          <xdr:cNvSpPr txBox="1"/>
        </xdr:nvSpPr>
        <xdr:spPr>
          <a:xfrm>
            <a:off x="453721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1" name="MMC_R61_C11"/>
          <xdr:cNvSpPr txBox="1"/>
        </xdr:nvSpPr>
        <xdr:spPr>
          <a:xfrm>
            <a:off x="453722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2" name="MMC_R62_C11"/>
          <xdr:cNvSpPr txBox="1"/>
        </xdr:nvSpPr>
        <xdr:spPr>
          <a:xfrm>
            <a:off x="453722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3" name="MMC_R63_C11"/>
          <xdr:cNvSpPr txBox="1"/>
        </xdr:nvSpPr>
        <xdr:spPr>
          <a:xfrm>
            <a:off x="453722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4" name="MMC_R64_C11"/>
          <xdr:cNvSpPr txBox="1"/>
        </xdr:nvSpPr>
        <xdr:spPr>
          <a:xfrm>
            <a:off x="453722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5" name="MMC_R65_C11"/>
          <xdr:cNvSpPr txBox="1"/>
        </xdr:nvSpPr>
        <xdr:spPr>
          <a:xfrm>
            <a:off x="3694233" y="11497445"/>
            <a:ext cx="10519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6" name="MMC_R66_C11"/>
          <xdr:cNvSpPr txBox="1"/>
        </xdr:nvSpPr>
        <xdr:spPr>
          <a:xfrm>
            <a:off x="453722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7" name="MMC_R67_C11"/>
          <xdr:cNvSpPr txBox="1"/>
        </xdr:nvSpPr>
        <xdr:spPr>
          <a:xfrm>
            <a:off x="453722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8" name="MMC_R68_C11"/>
          <xdr:cNvSpPr txBox="1"/>
        </xdr:nvSpPr>
        <xdr:spPr>
          <a:xfrm>
            <a:off x="453722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9" name="MMC_R69_C11"/>
          <xdr:cNvSpPr txBox="1"/>
        </xdr:nvSpPr>
        <xdr:spPr>
          <a:xfrm>
            <a:off x="453722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0" name="MMC_R70_C11"/>
          <xdr:cNvSpPr txBox="1"/>
        </xdr:nvSpPr>
        <xdr:spPr>
          <a:xfrm>
            <a:off x="453722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1" name="MMC_R71_C11"/>
          <xdr:cNvSpPr txBox="1"/>
        </xdr:nvSpPr>
        <xdr:spPr>
          <a:xfrm>
            <a:off x="453723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2" name="MMC_R72_C11"/>
          <xdr:cNvSpPr txBox="1"/>
        </xdr:nvSpPr>
        <xdr:spPr>
          <a:xfrm>
            <a:off x="453723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3" name="MMC_R73_C11"/>
          <xdr:cNvSpPr txBox="1"/>
        </xdr:nvSpPr>
        <xdr:spPr>
          <a:xfrm>
            <a:off x="453723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4" name="MMC_R74_C11"/>
          <xdr:cNvSpPr txBox="1"/>
        </xdr:nvSpPr>
        <xdr:spPr>
          <a:xfrm>
            <a:off x="453723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5" name="MMC_R75_C11"/>
          <xdr:cNvSpPr txBox="1"/>
        </xdr:nvSpPr>
        <xdr:spPr>
          <a:xfrm>
            <a:off x="453723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6" name="MMC_R76_C11"/>
          <xdr:cNvSpPr txBox="1"/>
        </xdr:nvSpPr>
        <xdr:spPr>
          <a:xfrm>
            <a:off x="3895780" y="11497445"/>
            <a:ext cx="7584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7" name="MMC_R77_C11"/>
          <xdr:cNvSpPr txBox="1"/>
        </xdr:nvSpPr>
        <xdr:spPr>
          <a:xfrm>
            <a:off x="453723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8" name="MMC_R78_C11"/>
          <xdr:cNvSpPr txBox="1"/>
        </xdr:nvSpPr>
        <xdr:spPr>
          <a:xfrm>
            <a:off x="453723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9" name="MMC_R79_C11"/>
          <xdr:cNvSpPr txBox="1"/>
        </xdr:nvSpPr>
        <xdr:spPr>
          <a:xfrm>
            <a:off x="3971621" y="11497445"/>
            <a:ext cx="65039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0" name="MMC_R80_C11"/>
          <xdr:cNvSpPr txBox="1"/>
        </xdr:nvSpPr>
        <xdr:spPr>
          <a:xfrm>
            <a:off x="4036660" y="11497445"/>
            <a:ext cx="6203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1" name="MMC_R81_C11"/>
          <xdr:cNvSpPr txBox="1"/>
        </xdr:nvSpPr>
        <xdr:spPr>
          <a:xfrm>
            <a:off x="453724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2" name="MMC_R82_C11"/>
          <xdr:cNvSpPr txBox="1"/>
        </xdr:nvSpPr>
        <xdr:spPr>
          <a:xfrm>
            <a:off x="453724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3" name="MMC_R83_C11"/>
          <xdr:cNvSpPr txBox="1"/>
        </xdr:nvSpPr>
        <xdr:spPr>
          <a:xfrm>
            <a:off x="4208483" y="11497445"/>
            <a:ext cx="5225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4" name="MMC_R84_C11"/>
          <xdr:cNvSpPr txBox="1"/>
        </xdr:nvSpPr>
        <xdr:spPr>
          <a:xfrm>
            <a:off x="453724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5" name="MMC_R85_C11"/>
          <xdr:cNvSpPr txBox="1"/>
        </xdr:nvSpPr>
        <xdr:spPr>
          <a:xfrm>
            <a:off x="453724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6" name="MMC_R86_C11"/>
          <xdr:cNvSpPr txBox="1"/>
        </xdr:nvSpPr>
        <xdr:spPr>
          <a:xfrm>
            <a:off x="453724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7" name="MMC_R87_C11"/>
          <xdr:cNvSpPr txBox="1"/>
        </xdr:nvSpPr>
        <xdr:spPr>
          <a:xfrm>
            <a:off x="453724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8" name="MMC_R88_C11"/>
          <xdr:cNvSpPr txBox="1"/>
        </xdr:nvSpPr>
        <xdr:spPr>
          <a:xfrm>
            <a:off x="453724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9" name="MMC_R89_C11"/>
          <xdr:cNvSpPr txBox="1"/>
        </xdr:nvSpPr>
        <xdr:spPr>
          <a:xfrm>
            <a:off x="453724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0" name="MMC_R90_C11"/>
          <xdr:cNvSpPr txBox="1"/>
        </xdr:nvSpPr>
        <xdr:spPr>
          <a:xfrm>
            <a:off x="453724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1" name="MMC_R91_C11"/>
          <xdr:cNvSpPr txBox="1"/>
        </xdr:nvSpPr>
        <xdr:spPr>
          <a:xfrm>
            <a:off x="453725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2" name="MMC_R92_C11"/>
          <xdr:cNvSpPr txBox="1"/>
        </xdr:nvSpPr>
        <xdr:spPr>
          <a:xfrm>
            <a:off x="453725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3" name="MMC_R93_C11"/>
          <xdr:cNvSpPr txBox="1"/>
        </xdr:nvSpPr>
        <xdr:spPr>
          <a:xfrm>
            <a:off x="453725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4" name="MMC_R94_C11"/>
          <xdr:cNvSpPr txBox="1"/>
        </xdr:nvSpPr>
        <xdr:spPr>
          <a:xfrm>
            <a:off x="453725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5" name="MMC_R95_C11"/>
          <xdr:cNvSpPr txBox="1"/>
        </xdr:nvSpPr>
        <xdr:spPr>
          <a:xfrm>
            <a:off x="4523619" y="11497445"/>
            <a:ext cx="6198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6" name="MMC_R96_C11"/>
          <xdr:cNvSpPr txBox="1"/>
        </xdr:nvSpPr>
        <xdr:spPr>
          <a:xfrm>
            <a:off x="453725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7" name="MMC_R97_C11"/>
          <xdr:cNvSpPr txBox="1"/>
        </xdr:nvSpPr>
        <xdr:spPr>
          <a:xfrm>
            <a:off x="453725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8" name="MMC_R98_C11"/>
          <xdr:cNvSpPr txBox="1"/>
        </xdr:nvSpPr>
        <xdr:spPr>
          <a:xfrm>
            <a:off x="453725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9" name="MMC_R99_C11"/>
          <xdr:cNvSpPr txBox="1"/>
        </xdr:nvSpPr>
        <xdr:spPr>
          <a:xfrm>
            <a:off x="4537258" y="11497445"/>
            <a:ext cx="124131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27%</a:t>
            </a:r>
          </a:p>
        </xdr:txBody>
      </xdr:sp>
      <xdr:sp macro="" textlink="">
        <xdr:nvSpPr>
          <xdr:cNvPr id="171170" name="MMC_R01_C12"/>
          <xdr:cNvSpPr txBox="1"/>
        </xdr:nvSpPr>
        <xdr:spPr>
          <a:xfrm>
            <a:off x="2694218" y="12027915"/>
            <a:ext cx="9202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1" name="MMC_R02_C12"/>
          <xdr:cNvSpPr txBox="1"/>
        </xdr:nvSpPr>
        <xdr:spPr>
          <a:xfrm>
            <a:off x="3017191" y="12027915"/>
            <a:ext cx="20768" cy="44239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2" name="MMC_R03_C12"/>
          <xdr:cNvSpPr txBox="1"/>
        </xdr:nvSpPr>
        <xdr:spPr>
          <a:xfrm>
            <a:off x="2415132" y="12027915"/>
            <a:ext cx="15385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3%</a:t>
            </a:r>
          </a:p>
        </xdr:txBody>
      </xdr:sp>
      <xdr:sp macro="" textlink="">
        <xdr:nvSpPr>
          <xdr:cNvPr id="171173" name="MMC_R04_C12"/>
          <xdr:cNvSpPr txBox="1"/>
        </xdr:nvSpPr>
        <xdr:spPr>
          <a:xfrm>
            <a:off x="303795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4" name="MMC_R05_C12"/>
          <xdr:cNvSpPr txBox="1"/>
        </xdr:nvSpPr>
        <xdr:spPr>
          <a:xfrm>
            <a:off x="303797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5" name="MMC_R06_C12"/>
          <xdr:cNvSpPr txBox="1"/>
        </xdr:nvSpPr>
        <xdr:spPr>
          <a:xfrm>
            <a:off x="303803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6" name="MMC_R07_C12"/>
          <xdr:cNvSpPr txBox="1"/>
        </xdr:nvSpPr>
        <xdr:spPr>
          <a:xfrm>
            <a:off x="1474839" y="12027915"/>
            <a:ext cx="206944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5%</a:t>
            </a:r>
          </a:p>
        </xdr:txBody>
      </xdr:sp>
      <xdr:sp macro="" textlink="">
        <xdr:nvSpPr>
          <xdr:cNvPr id="171177" name="MMC_R08_C12"/>
          <xdr:cNvSpPr txBox="1"/>
        </xdr:nvSpPr>
        <xdr:spPr>
          <a:xfrm>
            <a:off x="303796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8" name="MMC_R09_C12"/>
          <xdr:cNvSpPr txBox="1"/>
        </xdr:nvSpPr>
        <xdr:spPr>
          <a:xfrm>
            <a:off x="2995201" y="12027915"/>
            <a:ext cx="2199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9" name="MMC_R10_C12"/>
          <xdr:cNvSpPr txBox="1"/>
        </xdr:nvSpPr>
        <xdr:spPr>
          <a:xfrm>
            <a:off x="303797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0" name="MMC_R11_C12"/>
          <xdr:cNvSpPr txBox="1"/>
        </xdr:nvSpPr>
        <xdr:spPr>
          <a:xfrm>
            <a:off x="303798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1" name="MMC_R12_C12"/>
          <xdr:cNvSpPr txBox="1"/>
        </xdr:nvSpPr>
        <xdr:spPr>
          <a:xfrm>
            <a:off x="303800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2" name="MMC_R13_C12"/>
          <xdr:cNvSpPr txBox="1"/>
        </xdr:nvSpPr>
        <xdr:spPr>
          <a:xfrm>
            <a:off x="303800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3" name="MMC_R14_C12"/>
          <xdr:cNvSpPr txBox="1"/>
        </xdr:nvSpPr>
        <xdr:spPr>
          <a:xfrm>
            <a:off x="303802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4" name="MMC_R15_C12"/>
          <xdr:cNvSpPr txBox="1"/>
        </xdr:nvSpPr>
        <xdr:spPr>
          <a:xfrm>
            <a:off x="2852211" y="12027915"/>
            <a:ext cx="5307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5" name="MMC_R16_C12"/>
          <xdr:cNvSpPr txBox="1"/>
        </xdr:nvSpPr>
        <xdr:spPr>
          <a:xfrm>
            <a:off x="1206500" y="12027915"/>
            <a:ext cx="268339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Sunx 6%</a:t>
            </a:r>
          </a:p>
        </xdr:txBody>
      </xdr:sp>
      <xdr:sp macro="" textlink="">
        <xdr:nvSpPr>
          <xdr:cNvPr id="171186" name="MMC_R17_C12"/>
          <xdr:cNvSpPr txBox="1"/>
        </xdr:nvSpPr>
        <xdr:spPr>
          <a:xfrm>
            <a:off x="1882039" y="12027915"/>
            <a:ext cx="199395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4%</a:t>
            </a:r>
          </a:p>
        </xdr:txBody>
      </xdr:sp>
      <xdr:sp macro="" textlink="">
        <xdr:nvSpPr>
          <xdr:cNvPr id="171187" name="MMC_R18_C12"/>
          <xdr:cNvSpPr txBox="1"/>
        </xdr:nvSpPr>
        <xdr:spPr>
          <a:xfrm>
            <a:off x="303796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8" name="MMC_R19_C12"/>
          <xdr:cNvSpPr txBox="1"/>
        </xdr:nvSpPr>
        <xdr:spPr>
          <a:xfrm>
            <a:off x="303796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9" name="MMC_R20_C12"/>
          <xdr:cNvSpPr txBox="1"/>
        </xdr:nvSpPr>
        <xdr:spPr>
          <a:xfrm>
            <a:off x="303796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0" name="MMC_R21_C12"/>
          <xdr:cNvSpPr txBox="1"/>
        </xdr:nvSpPr>
        <xdr:spPr>
          <a:xfrm>
            <a:off x="303796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1" name="MMC_R22_C12"/>
          <xdr:cNvSpPr txBox="1"/>
        </xdr:nvSpPr>
        <xdr:spPr>
          <a:xfrm>
            <a:off x="303796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2" name="MMC_R23_C12"/>
          <xdr:cNvSpPr txBox="1"/>
        </xdr:nvSpPr>
        <xdr:spPr>
          <a:xfrm>
            <a:off x="303796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3" name="MMC_R24_C12"/>
          <xdr:cNvSpPr txBox="1"/>
        </xdr:nvSpPr>
        <xdr:spPr>
          <a:xfrm>
            <a:off x="303796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4" name="MMC_R25_C12"/>
          <xdr:cNvSpPr txBox="1"/>
        </xdr:nvSpPr>
        <xdr:spPr>
          <a:xfrm>
            <a:off x="303796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5" name="MMC_R26_C12"/>
          <xdr:cNvSpPr txBox="1"/>
        </xdr:nvSpPr>
        <xdr:spPr>
          <a:xfrm>
            <a:off x="303796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6" name="MMC_R27_C12"/>
          <xdr:cNvSpPr txBox="1"/>
        </xdr:nvSpPr>
        <xdr:spPr>
          <a:xfrm>
            <a:off x="303797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7" name="MMC_R28_C12"/>
          <xdr:cNvSpPr txBox="1"/>
        </xdr:nvSpPr>
        <xdr:spPr>
          <a:xfrm>
            <a:off x="303797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8" name="MMC_R29_C12"/>
          <xdr:cNvSpPr txBox="1"/>
        </xdr:nvSpPr>
        <xdr:spPr>
          <a:xfrm>
            <a:off x="303797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9" name="MMC_R30_C12"/>
          <xdr:cNvSpPr txBox="1"/>
        </xdr:nvSpPr>
        <xdr:spPr>
          <a:xfrm>
            <a:off x="303797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0" name="MMC_R31_C12"/>
          <xdr:cNvSpPr txBox="1"/>
        </xdr:nvSpPr>
        <xdr:spPr>
          <a:xfrm>
            <a:off x="2257696" y="12027915"/>
            <a:ext cx="157436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3%</a:t>
            </a:r>
          </a:p>
        </xdr:txBody>
      </xdr:sp>
      <xdr:sp macro="" textlink="">
        <xdr:nvSpPr>
          <xdr:cNvPr id="171201" name="MMC_R32_C12"/>
          <xdr:cNvSpPr txBox="1"/>
        </xdr:nvSpPr>
        <xdr:spPr>
          <a:xfrm>
            <a:off x="303797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2" name="MMC_R33_C12"/>
          <xdr:cNvSpPr txBox="1"/>
        </xdr:nvSpPr>
        <xdr:spPr>
          <a:xfrm>
            <a:off x="303797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3" name="MMC_R34_C12"/>
          <xdr:cNvSpPr txBox="1"/>
        </xdr:nvSpPr>
        <xdr:spPr>
          <a:xfrm>
            <a:off x="303797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4" name="MMC_R35_C12"/>
          <xdr:cNvSpPr txBox="1"/>
        </xdr:nvSpPr>
        <xdr:spPr>
          <a:xfrm>
            <a:off x="1681783" y="12027915"/>
            <a:ext cx="200256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4%</a:t>
            </a:r>
          </a:p>
        </xdr:txBody>
      </xdr:sp>
      <xdr:sp macro="" textlink="">
        <xdr:nvSpPr>
          <xdr:cNvPr id="171205" name="MMC_R36_C12"/>
          <xdr:cNvSpPr txBox="1"/>
        </xdr:nvSpPr>
        <xdr:spPr>
          <a:xfrm>
            <a:off x="303797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6" name="MMC_R37_C12"/>
          <xdr:cNvSpPr txBox="1"/>
        </xdr:nvSpPr>
        <xdr:spPr>
          <a:xfrm>
            <a:off x="303798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7" name="MMC_R38_C12"/>
          <xdr:cNvSpPr txBox="1"/>
        </xdr:nvSpPr>
        <xdr:spPr>
          <a:xfrm>
            <a:off x="303798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8" name="MMC_R39_C12"/>
          <xdr:cNvSpPr txBox="1"/>
        </xdr:nvSpPr>
        <xdr:spPr>
          <a:xfrm>
            <a:off x="303798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9" name="MMC_R40_C12"/>
          <xdr:cNvSpPr txBox="1"/>
        </xdr:nvSpPr>
        <xdr:spPr>
          <a:xfrm>
            <a:off x="303798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0" name="MMC_R41_C12"/>
          <xdr:cNvSpPr txBox="1"/>
        </xdr:nvSpPr>
        <xdr:spPr>
          <a:xfrm>
            <a:off x="303798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1" name="MMC_R42_C12"/>
          <xdr:cNvSpPr txBox="1"/>
        </xdr:nvSpPr>
        <xdr:spPr>
          <a:xfrm>
            <a:off x="2905284" y="12027915"/>
            <a:ext cx="46054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2" name="MMC_R43_C12"/>
          <xdr:cNvSpPr txBox="1"/>
        </xdr:nvSpPr>
        <xdr:spPr>
          <a:xfrm>
            <a:off x="303798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3" name="MMC_R44_C12"/>
          <xdr:cNvSpPr txBox="1"/>
        </xdr:nvSpPr>
        <xdr:spPr>
          <a:xfrm>
            <a:off x="303798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4" name="MMC_R45_C12"/>
          <xdr:cNvSpPr txBox="1"/>
        </xdr:nvSpPr>
        <xdr:spPr>
          <a:xfrm>
            <a:off x="303798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5" name="MMC_R46_C12"/>
          <xdr:cNvSpPr txBox="1"/>
        </xdr:nvSpPr>
        <xdr:spPr>
          <a:xfrm>
            <a:off x="303798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6" name="MMC_R47_C12"/>
          <xdr:cNvSpPr txBox="1"/>
        </xdr:nvSpPr>
        <xdr:spPr>
          <a:xfrm>
            <a:off x="303799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7" name="MMC_R48_C12"/>
          <xdr:cNvSpPr txBox="1"/>
        </xdr:nvSpPr>
        <xdr:spPr>
          <a:xfrm>
            <a:off x="303799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8" name="MMC_R49_C12"/>
          <xdr:cNvSpPr txBox="1"/>
        </xdr:nvSpPr>
        <xdr:spPr>
          <a:xfrm>
            <a:off x="303799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9" name="MMC_R50_C12"/>
          <xdr:cNvSpPr txBox="1"/>
        </xdr:nvSpPr>
        <xdr:spPr>
          <a:xfrm>
            <a:off x="303799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0" name="MMC_R51_C12"/>
          <xdr:cNvSpPr txBox="1"/>
        </xdr:nvSpPr>
        <xdr:spPr>
          <a:xfrm>
            <a:off x="303799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1" name="MMC_R52_C12"/>
          <xdr:cNvSpPr txBox="1"/>
        </xdr:nvSpPr>
        <xdr:spPr>
          <a:xfrm>
            <a:off x="303799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2" name="MMC_R53_C12"/>
          <xdr:cNvSpPr txBox="1"/>
        </xdr:nvSpPr>
        <xdr:spPr>
          <a:xfrm>
            <a:off x="303799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3" name="MMC_R54_C12"/>
          <xdr:cNvSpPr txBox="1"/>
        </xdr:nvSpPr>
        <xdr:spPr>
          <a:xfrm>
            <a:off x="303799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4" name="MMC_R55_C12"/>
          <xdr:cNvSpPr txBox="1"/>
        </xdr:nvSpPr>
        <xdr:spPr>
          <a:xfrm>
            <a:off x="303799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5" name="MMC_R56_C12"/>
          <xdr:cNvSpPr txBox="1"/>
        </xdr:nvSpPr>
        <xdr:spPr>
          <a:xfrm>
            <a:off x="303799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6" name="MMC_R57_C12"/>
          <xdr:cNvSpPr txBox="1"/>
        </xdr:nvSpPr>
        <xdr:spPr>
          <a:xfrm>
            <a:off x="303800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7" name="MMC_R58_C12"/>
          <xdr:cNvSpPr txBox="1"/>
        </xdr:nvSpPr>
        <xdr:spPr>
          <a:xfrm>
            <a:off x="303800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8" name="MMC_R59_C12"/>
          <xdr:cNvSpPr txBox="1"/>
        </xdr:nvSpPr>
        <xdr:spPr>
          <a:xfrm>
            <a:off x="303800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9" name="MMC_R60_C12"/>
          <xdr:cNvSpPr txBox="1"/>
        </xdr:nvSpPr>
        <xdr:spPr>
          <a:xfrm>
            <a:off x="2081434" y="12027915"/>
            <a:ext cx="176262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Thermo Scientific 4%</a:t>
            </a:r>
          </a:p>
        </xdr:txBody>
      </xdr:sp>
      <xdr:sp macro="" textlink="">
        <xdr:nvSpPr>
          <xdr:cNvPr id="171230" name="MMC_R61_C12"/>
          <xdr:cNvSpPr txBox="1"/>
        </xdr:nvSpPr>
        <xdr:spPr>
          <a:xfrm>
            <a:off x="303800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1" name="MMC_R62_C12"/>
          <xdr:cNvSpPr txBox="1"/>
        </xdr:nvSpPr>
        <xdr:spPr>
          <a:xfrm>
            <a:off x="303800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2" name="MMC_R63_C12"/>
          <xdr:cNvSpPr txBox="1"/>
        </xdr:nvSpPr>
        <xdr:spPr>
          <a:xfrm>
            <a:off x="303800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3" name="MMC_R64_C12"/>
          <xdr:cNvSpPr txBox="1"/>
        </xdr:nvSpPr>
        <xdr:spPr>
          <a:xfrm>
            <a:off x="303800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4" name="MMC_R65_C12"/>
          <xdr:cNvSpPr txBox="1"/>
        </xdr:nvSpPr>
        <xdr:spPr>
          <a:xfrm>
            <a:off x="303800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5" name="MMC_R66_C12"/>
          <xdr:cNvSpPr txBox="1"/>
        </xdr:nvSpPr>
        <xdr:spPr>
          <a:xfrm>
            <a:off x="2568985" y="12027915"/>
            <a:ext cx="12523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6" name="MMC_R67_C12"/>
          <xdr:cNvSpPr txBox="1"/>
        </xdr:nvSpPr>
        <xdr:spPr>
          <a:xfrm>
            <a:off x="303801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7" name="MMC_R68_C12"/>
          <xdr:cNvSpPr txBox="1"/>
        </xdr:nvSpPr>
        <xdr:spPr>
          <a:xfrm>
            <a:off x="303801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8" name="MMC_R69_C12"/>
          <xdr:cNvSpPr txBox="1"/>
        </xdr:nvSpPr>
        <xdr:spPr>
          <a:xfrm>
            <a:off x="303801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9" name="MMC_R70_C12"/>
          <xdr:cNvSpPr txBox="1"/>
        </xdr:nvSpPr>
        <xdr:spPr>
          <a:xfrm>
            <a:off x="303801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0" name="MMC_R71_C12"/>
          <xdr:cNvSpPr txBox="1"/>
        </xdr:nvSpPr>
        <xdr:spPr>
          <a:xfrm>
            <a:off x="303801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1" name="MMC_R72_C12"/>
          <xdr:cNvSpPr txBox="1"/>
        </xdr:nvSpPr>
        <xdr:spPr>
          <a:xfrm>
            <a:off x="303801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2" name="MMC_R73_C12"/>
          <xdr:cNvSpPr txBox="1"/>
        </xdr:nvSpPr>
        <xdr:spPr>
          <a:xfrm>
            <a:off x="303801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3" name="MMC_R74_C12"/>
          <xdr:cNvSpPr txBox="1"/>
        </xdr:nvSpPr>
        <xdr:spPr>
          <a:xfrm>
            <a:off x="303801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4" name="MMC_R75_C12"/>
          <xdr:cNvSpPr txBox="1"/>
        </xdr:nvSpPr>
        <xdr:spPr>
          <a:xfrm>
            <a:off x="303801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5" name="MMC_R76_C12"/>
          <xdr:cNvSpPr txBox="1"/>
        </xdr:nvSpPr>
        <xdr:spPr>
          <a:xfrm>
            <a:off x="303801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6" name="MMC_R77_C12"/>
          <xdr:cNvSpPr txBox="1"/>
        </xdr:nvSpPr>
        <xdr:spPr>
          <a:xfrm>
            <a:off x="303802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7" name="MMC_R78_C12"/>
          <xdr:cNvSpPr txBox="1"/>
        </xdr:nvSpPr>
        <xdr:spPr>
          <a:xfrm>
            <a:off x="303802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8" name="MMC_R79_C12"/>
          <xdr:cNvSpPr txBox="1"/>
        </xdr:nvSpPr>
        <xdr:spPr>
          <a:xfrm>
            <a:off x="303802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9" name="MMC_R80_C12"/>
          <xdr:cNvSpPr txBox="1"/>
        </xdr:nvSpPr>
        <xdr:spPr>
          <a:xfrm>
            <a:off x="303802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0" name="MMC_R81_C12"/>
          <xdr:cNvSpPr txBox="1"/>
        </xdr:nvSpPr>
        <xdr:spPr>
          <a:xfrm>
            <a:off x="303802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1" name="MMC_R82_C12"/>
          <xdr:cNvSpPr txBox="1"/>
        </xdr:nvSpPr>
        <xdr:spPr>
          <a:xfrm>
            <a:off x="2786241" y="12027915"/>
            <a:ext cx="6597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2" name="MMC_R83_C12"/>
          <xdr:cNvSpPr txBox="1"/>
        </xdr:nvSpPr>
        <xdr:spPr>
          <a:xfrm>
            <a:off x="303802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3" name="MMC_R84_C12"/>
          <xdr:cNvSpPr txBox="1"/>
        </xdr:nvSpPr>
        <xdr:spPr>
          <a:xfrm>
            <a:off x="303802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4" name="MMC_R85_C12"/>
          <xdr:cNvSpPr txBox="1"/>
        </xdr:nvSpPr>
        <xdr:spPr>
          <a:xfrm>
            <a:off x="303802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5" name="MMC_R86_C12"/>
          <xdr:cNvSpPr txBox="1"/>
        </xdr:nvSpPr>
        <xdr:spPr>
          <a:xfrm>
            <a:off x="303802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6" name="MMC_R87_C12"/>
          <xdr:cNvSpPr txBox="1"/>
        </xdr:nvSpPr>
        <xdr:spPr>
          <a:xfrm>
            <a:off x="303803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7" name="MMC_R88_C12"/>
          <xdr:cNvSpPr txBox="1"/>
        </xdr:nvSpPr>
        <xdr:spPr>
          <a:xfrm>
            <a:off x="2951338" y="12027915"/>
            <a:ext cx="4386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8" name="MMC_R89_C12"/>
          <xdr:cNvSpPr txBox="1"/>
        </xdr:nvSpPr>
        <xdr:spPr>
          <a:xfrm>
            <a:off x="303803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9" name="MMC_R90_C12"/>
          <xdr:cNvSpPr txBox="1"/>
        </xdr:nvSpPr>
        <xdr:spPr>
          <a:xfrm>
            <a:off x="303803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0" name="MMC_R91_C12"/>
          <xdr:cNvSpPr txBox="1"/>
        </xdr:nvSpPr>
        <xdr:spPr>
          <a:xfrm>
            <a:off x="303803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1" name="MMC_R92_C12"/>
          <xdr:cNvSpPr txBox="1"/>
        </xdr:nvSpPr>
        <xdr:spPr>
          <a:xfrm>
            <a:off x="303803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2" name="MMC_R93_C12"/>
          <xdr:cNvSpPr txBox="1"/>
        </xdr:nvSpPr>
        <xdr:spPr>
          <a:xfrm>
            <a:off x="303803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3" name="MMC_R94_C12"/>
          <xdr:cNvSpPr txBox="1"/>
        </xdr:nvSpPr>
        <xdr:spPr>
          <a:xfrm>
            <a:off x="303803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4" name="MMC_R95_C12"/>
          <xdr:cNvSpPr txBox="1"/>
        </xdr:nvSpPr>
        <xdr:spPr>
          <a:xfrm>
            <a:off x="303803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5" name="MMC_R96_C12"/>
          <xdr:cNvSpPr txBox="1"/>
        </xdr:nvSpPr>
        <xdr:spPr>
          <a:xfrm>
            <a:off x="303803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6" name="MMC_R97_C12"/>
          <xdr:cNvSpPr txBox="1"/>
        </xdr:nvSpPr>
        <xdr:spPr>
          <a:xfrm>
            <a:off x="303804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7" name="MMC_R98_C12"/>
          <xdr:cNvSpPr txBox="1"/>
        </xdr:nvSpPr>
        <xdr:spPr>
          <a:xfrm>
            <a:off x="303804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8" name="MMC_R99_C12"/>
          <xdr:cNvSpPr txBox="1"/>
        </xdr:nvSpPr>
        <xdr:spPr>
          <a:xfrm>
            <a:off x="3038061" y="12027915"/>
            <a:ext cx="274054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60%</a:t>
            </a:r>
          </a:p>
        </xdr:txBody>
      </xdr:sp>
      <xdr:sp macro="" textlink="">
        <xdr:nvSpPr>
          <xdr:cNvPr id="171269" name="MMC_R01_C13"/>
          <xdr:cNvSpPr txBox="1"/>
        </xdr:nvSpPr>
        <xdr:spPr>
          <a:xfrm>
            <a:off x="3800961" y="12470307"/>
            <a:ext cx="483801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11%</a:t>
            </a:r>
          </a:p>
        </xdr:txBody>
      </xdr:sp>
      <xdr:sp macro="" textlink="">
        <xdr:nvSpPr>
          <xdr:cNvPr id="171270" name="MMC_R02_C13"/>
          <xdr:cNvSpPr txBox="1"/>
        </xdr:nvSpPr>
        <xdr:spPr>
          <a:xfrm>
            <a:off x="4911979" y="12470307"/>
            <a:ext cx="224239" cy="335534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71271" name="MMC_R03_C13"/>
          <xdr:cNvSpPr txBox="1"/>
        </xdr:nvSpPr>
        <xdr:spPr>
          <a:xfrm>
            <a:off x="2329947" y="12470307"/>
            <a:ext cx="88452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19%</a:t>
            </a:r>
          </a:p>
        </xdr:txBody>
      </xdr:sp>
      <xdr:sp macro="" textlink="">
        <xdr:nvSpPr>
          <xdr:cNvPr id="171272" name="MMC_R04_C13"/>
          <xdr:cNvSpPr txBox="1"/>
        </xdr:nvSpPr>
        <xdr:spPr>
          <a:xfrm>
            <a:off x="3214474" y="12470307"/>
            <a:ext cx="58648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13%</a:t>
            </a:r>
          </a:p>
        </xdr:txBody>
      </xdr:sp>
      <xdr:sp macro="" textlink="">
        <xdr:nvSpPr>
          <xdr:cNvPr id="171273" name="MMC_R05_C13"/>
          <xdr:cNvSpPr txBox="1"/>
        </xdr:nvSpPr>
        <xdr:spPr>
          <a:xfrm>
            <a:off x="545599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4" name="MMC_R06_C13"/>
          <xdr:cNvSpPr txBox="1"/>
        </xdr:nvSpPr>
        <xdr:spPr>
          <a:xfrm>
            <a:off x="545602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5" name="MMC_R07_C13"/>
          <xdr:cNvSpPr txBox="1"/>
        </xdr:nvSpPr>
        <xdr:spPr>
          <a:xfrm>
            <a:off x="545603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6" name="MMC_R08_C13"/>
          <xdr:cNvSpPr txBox="1"/>
        </xdr:nvSpPr>
        <xdr:spPr>
          <a:xfrm>
            <a:off x="545598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7" name="MMC_R09_C13"/>
          <xdr:cNvSpPr txBox="1"/>
        </xdr:nvSpPr>
        <xdr:spPr>
          <a:xfrm>
            <a:off x="545599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8" name="MMC_R10_C13"/>
          <xdr:cNvSpPr txBox="1"/>
        </xdr:nvSpPr>
        <xdr:spPr>
          <a:xfrm>
            <a:off x="1206500" y="12470307"/>
            <a:ext cx="112344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25%</a:t>
            </a:r>
          </a:p>
        </xdr:txBody>
      </xdr:sp>
      <xdr:sp macro="" textlink="">
        <xdr:nvSpPr>
          <xdr:cNvPr id="171279" name="MMC_R11_C13"/>
          <xdr:cNvSpPr txBox="1"/>
        </xdr:nvSpPr>
        <xdr:spPr>
          <a:xfrm>
            <a:off x="545599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0" name="MMC_R12_C13"/>
          <xdr:cNvSpPr txBox="1"/>
        </xdr:nvSpPr>
        <xdr:spPr>
          <a:xfrm>
            <a:off x="5342168" y="12470307"/>
            <a:ext cx="7958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1" name="MMC_R13_C13"/>
          <xdr:cNvSpPr txBox="1"/>
        </xdr:nvSpPr>
        <xdr:spPr>
          <a:xfrm>
            <a:off x="5136218" y="12470307"/>
            <a:ext cx="11202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2" name="MMC_R14_C13"/>
          <xdr:cNvSpPr txBox="1"/>
        </xdr:nvSpPr>
        <xdr:spPr>
          <a:xfrm>
            <a:off x="545604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3" name="MMC_R15_C13"/>
          <xdr:cNvSpPr txBox="1"/>
        </xdr:nvSpPr>
        <xdr:spPr>
          <a:xfrm>
            <a:off x="545607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4" name="MMC_R16_C13"/>
          <xdr:cNvSpPr txBox="1"/>
        </xdr:nvSpPr>
        <xdr:spPr>
          <a:xfrm>
            <a:off x="545598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5" name="MMC_R17_C13"/>
          <xdr:cNvSpPr txBox="1"/>
        </xdr:nvSpPr>
        <xdr:spPr>
          <a:xfrm>
            <a:off x="545598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6" name="MMC_R18_C13"/>
          <xdr:cNvSpPr txBox="1"/>
        </xdr:nvSpPr>
        <xdr:spPr>
          <a:xfrm>
            <a:off x="4623814" y="12470307"/>
            <a:ext cx="288165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Moore Industries 6%</a:t>
            </a:r>
          </a:p>
        </xdr:txBody>
      </xdr:sp>
      <xdr:sp macro="" textlink="">
        <xdr:nvSpPr>
          <xdr:cNvPr id="171287" name="MMC_R19_C13"/>
          <xdr:cNvSpPr txBox="1"/>
        </xdr:nvSpPr>
        <xdr:spPr>
          <a:xfrm>
            <a:off x="545598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8" name="MMC_R20_C13"/>
          <xdr:cNvSpPr txBox="1"/>
        </xdr:nvSpPr>
        <xdr:spPr>
          <a:xfrm>
            <a:off x="545598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9" name="MMC_R21_C13"/>
          <xdr:cNvSpPr txBox="1"/>
        </xdr:nvSpPr>
        <xdr:spPr>
          <a:xfrm>
            <a:off x="5248245" y="12470307"/>
            <a:ext cx="93923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0" name="MMC_R22_C13"/>
          <xdr:cNvSpPr txBox="1"/>
        </xdr:nvSpPr>
        <xdr:spPr>
          <a:xfrm>
            <a:off x="545599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1" name="MMC_R23_C13"/>
          <xdr:cNvSpPr txBox="1"/>
        </xdr:nvSpPr>
        <xdr:spPr>
          <a:xfrm>
            <a:off x="545599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2" name="MMC_R24_C13"/>
          <xdr:cNvSpPr txBox="1"/>
        </xdr:nvSpPr>
        <xdr:spPr>
          <a:xfrm>
            <a:off x="5443608" y="12470307"/>
            <a:ext cx="6256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3" name="MMC_R25_C13"/>
          <xdr:cNvSpPr txBox="1"/>
        </xdr:nvSpPr>
        <xdr:spPr>
          <a:xfrm>
            <a:off x="5421755" y="12470307"/>
            <a:ext cx="15244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4" name="MMC_R26_C13"/>
          <xdr:cNvSpPr txBox="1"/>
        </xdr:nvSpPr>
        <xdr:spPr>
          <a:xfrm>
            <a:off x="545600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5" name="MMC_R27_C13"/>
          <xdr:cNvSpPr txBox="1"/>
        </xdr:nvSpPr>
        <xdr:spPr>
          <a:xfrm>
            <a:off x="545600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6" name="MMC_R28_C13"/>
          <xdr:cNvSpPr txBox="1"/>
        </xdr:nvSpPr>
        <xdr:spPr>
          <a:xfrm>
            <a:off x="545600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7" name="MMC_R29_C13"/>
          <xdr:cNvSpPr txBox="1"/>
        </xdr:nvSpPr>
        <xdr:spPr>
          <a:xfrm>
            <a:off x="545600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8" name="MMC_R30_C13"/>
          <xdr:cNvSpPr txBox="1"/>
        </xdr:nvSpPr>
        <xdr:spPr>
          <a:xfrm>
            <a:off x="545600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9" name="MMC_R31_C13"/>
          <xdr:cNvSpPr txBox="1"/>
        </xdr:nvSpPr>
        <xdr:spPr>
          <a:xfrm>
            <a:off x="545601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0" name="MMC_R32_C13"/>
          <xdr:cNvSpPr txBox="1"/>
        </xdr:nvSpPr>
        <xdr:spPr>
          <a:xfrm>
            <a:off x="545601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1" name="MMC_R33_C13"/>
          <xdr:cNvSpPr txBox="1"/>
        </xdr:nvSpPr>
        <xdr:spPr>
          <a:xfrm>
            <a:off x="545601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2" name="MMC_R34_C13"/>
          <xdr:cNvSpPr txBox="1"/>
        </xdr:nvSpPr>
        <xdr:spPr>
          <a:xfrm>
            <a:off x="545601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3" name="MMC_R35_C13"/>
          <xdr:cNvSpPr txBox="1"/>
        </xdr:nvSpPr>
        <xdr:spPr>
          <a:xfrm>
            <a:off x="545601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4" name="MMC_R36_C13"/>
          <xdr:cNvSpPr txBox="1"/>
        </xdr:nvSpPr>
        <xdr:spPr>
          <a:xfrm>
            <a:off x="545602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5" name="MMC_R37_C13"/>
          <xdr:cNvSpPr txBox="1"/>
        </xdr:nvSpPr>
        <xdr:spPr>
          <a:xfrm>
            <a:off x="545602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6" name="MMC_R38_C13"/>
          <xdr:cNvSpPr txBox="1"/>
        </xdr:nvSpPr>
        <xdr:spPr>
          <a:xfrm>
            <a:off x="545602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7" name="MMC_R39_C13"/>
          <xdr:cNvSpPr txBox="1"/>
        </xdr:nvSpPr>
        <xdr:spPr>
          <a:xfrm>
            <a:off x="545602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8" name="MMC_R40_C13"/>
          <xdr:cNvSpPr txBox="1"/>
        </xdr:nvSpPr>
        <xdr:spPr>
          <a:xfrm>
            <a:off x="5436999" y="12470307"/>
            <a:ext cx="6609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9" name="MMC_R41_C13"/>
          <xdr:cNvSpPr txBox="1"/>
        </xdr:nvSpPr>
        <xdr:spPr>
          <a:xfrm>
            <a:off x="545603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0" name="MMC_R42_C13"/>
          <xdr:cNvSpPr txBox="1"/>
        </xdr:nvSpPr>
        <xdr:spPr>
          <a:xfrm>
            <a:off x="545603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1" name="MMC_R43_C13"/>
          <xdr:cNvSpPr txBox="1"/>
        </xdr:nvSpPr>
        <xdr:spPr>
          <a:xfrm>
            <a:off x="5454626" y="12470307"/>
            <a:ext cx="1355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2" name="MMC_R44_C13"/>
          <xdr:cNvSpPr txBox="1"/>
        </xdr:nvSpPr>
        <xdr:spPr>
          <a:xfrm>
            <a:off x="545603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3" name="MMC_R45_C13"/>
          <xdr:cNvSpPr txBox="1"/>
        </xdr:nvSpPr>
        <xdr:spPr>
          <a:xfrm>
            <a:off x="545603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4" name="MMC_R46_C13"/>
          <xdr:cNvSpPr txBox="1"/>
        </xdr:nvSpPr>
        <xdr:spPr>
          <a:xfrm>
            <a:off x="4284762" y="12470307"/>
            <a:ext cx="33905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Leuze 7%</a:t>
            </a:r>
          </a:p>
        </xdr:txBody>
      </xdr:sp>
      <xdr:sp macro="" textlink="">
        <xdr:nvSpPr>
          <xdr:cNvPr id="171315" name="MMC_R47_C13"/>
          <xdr:cNvSpPr txBox="1"/>
        </xdr:nvSpPr>
        <xdr:spPr>
          <a:xfrm>
            <a:off x="545604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6" name="MMC_R48_C13"/>
          <xdr:cNvSpPr txBox="1"/>
        </xdr:nvSpPr>
        <xdr:spPr>
          <a:xfrm>
            <a:off x="545604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7" name="MMC_R49_C13"/>
          <xdr:cNvSpPr txBox="1"/>
        </xdr:nvSpPr>
        <xdr:spPr>
          <a:xfrm>
            <a:off x="545604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8" name="MMC_R50_C13"/>
          <xdr:cNvSpPr txBox="1"/>
        </xdr:nvSpPr>
        <xdr:spPr>
          <a:xfrm>
            <a:off x="545604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9" name="MMC_R51_C13"/>
          <xdr:cNvSpPr txBox="1"/>
        </xdr:nvSpPr>
        <xdr:spPr>
          <a:xfrm>
            <a:off x="545605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0" name="MMC_R52_C13"/>
          <xdr:cNvSpPr txBox="1"/>
        </xdr:nvSpPr>
        <xdr:spPr>
          <a:xfrm>
            <a:off x="545605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1" name="MMC_R53_C13"/>
          <xdr:cNvSpPr txBox="1"/>
        </xdr:nvSpPr>
        <xdr:spPr>
          <a:xfrm>
            <a:off x="545605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2" name="MMC_R54_C13"/>
          <xdr:cNvSpPr txBox="1"/>
        </xdr:nvSpPr>
        <xdr:spPr>
          <a:xfrm>
            <a:off x="545605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3" name="MMC_R55_C13"/>
          <xdr:cNvSpPr txBox="1"/>
        </xdr:nvSpPr>
        <xdr:spPr>
          <a:xfrm>
            <a:off x="545605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4" name="MMC_R56_C13"/>
          <xdr:cNvSpPr txBox="1"/>
        </xdr:nvSpPr>
        <xdr:spPr>
          <a:xfrm>
            <a:off x="545606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5" name="MMC_R57_C13"/>
          <xdr:cNvSpPr txBox="1"/>
        </xdr:nvSpPr>
        <xdr:spPr>
          <a:xfrm>
            <a:off x="545606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6" name="MMC_R58_C13"/>
          <xdr:cNvSpPr txBox="1"/>
        </xdr:nvSpPr>
        <xdr:spPr>
          <a:xfrm>
            <a:off x="545606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7" name="MMC_R59_C13"/>
          <xdr:cNvSpPr txBox="1"/>
        </xdr:nvSpPr>
        <xdr:spPr>
          <a:xfrm>
            <a:off x="545606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8" name="MMC_R60_C13"/>
          <xdr:cNvSpPr txBox="1"/>
        </xdr:nvSpPr>
        <xdr:spPr>
          <a:xfrm>
            <a:off x="545606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9" name="MMC_R61_C13"/>
          <xdr:cNvSpPr txBox="1"/>
        </xdr:nvSpPr>
        <xdr:spPr>
          <a:xfrm>
            <a:off x="545607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0" name="MMC_R62_C13"/>
          <xdr:cNvSpPr txBox="1"/>
        </xdr:nvSpPr>
        <xdr:spPr>
          <a:xfrm>
            <a:off x="5449864" y="12470307"/>
            <a:ext cx="476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1" name="MMC_R63_C13"/>
          <xdr:cNvSpPr txBox="1"/>
        </xdr:nvSpPr>
        <xdr:spPr>
          <a:xfrm>
            <a:off x="545607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2" name="MMC_R64_C13"/>
          <xdr:cNvSpPr txBox="1"/>
        </xdr:nvSpPr>
        <xdr:spPr>
          <a:xfrm>
            <a:off x="545607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3" name="MMC_R65_C13"/>
          <xdr:cNvSpPr txBox="1"/>
        </xdr:nvSpPr>
        <xdr:spPr>
          <a:xfrm>
            <a:off x="545607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4" name="MMC_R66_C13"/>
          <xdr:cNvSpPr txBox="1"/>
        </xdr:nvSpPr>
        <xdr:spPr>
          <a:xfrm>
            <a:off x="545608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5" name="MMC_R67_C13"/>
          <xdr:cNvSpPr txBox="1"/>
        </xdr:nvSpPr>
        <xdr:spPr>
          <a:xfrm>
            <a:off x="545608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6" name="MMC_R68_C13"/>
          <xdr:cNvSpPr txBox="1"/>
        </xdr:nvSpPr>
        <xdr:spPr>
          <a:xfrm>
            <a:off x="545608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7" name="MMC_R69_C13"/>
          <xdr:cNvSpPr txBox="1"/>
        </xdr:nvSpPr>
        <xdr:spPr>
          <a:xfrm>
            <a:off x="545608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8" name="MMC_R70_C13"/>
          <xdr:cNvSpPr txBox="1"/>
        </xdr:nvSpPr>
        <xdr:spPr>
          <a:xfrm>
            <a:off x="545608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9" name="MMC_R71_C13"/>
          <xdr:cNvSpPr txBox="1"/>
        </xdr:nvSpPr>
        <xdr:spPr>
          <a:xfrm>
            <a:off x="545609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0" name="MMC_R72_C13"/>
          <xdr:cNvSpPr txBox="1"/>
        </xdr:nvSpPr>
        <xdr:spPr>
          <a:xfrm>
            <a:off x="545609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1" name="MMC_R73_C13"/>
          <xdr:cNvSpPr txBox="1"/>
        </xdr:nvSpPr>
        <xdr:spPr>
          <a:xfrm>
            <a:off x="545609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2" name="MMC_R74_C13"/>
          <xdr:cNvSpPr txBox="1"/>
        </xdr:nvSpPr>
        <xdr:spPr>
          <a:xfrm>
            <a:off x="545609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3" name="MMC_R75_C13"/>
          <xdr:cNvSpPr txBox="1"/>
        </xdr:nvSpPr>
        <xdr:spPr>
          <a:xfrm>
            <a:off x="545609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4" name="MMC_R76_C13"/>
          <xdr:cNvSpPr txBox="1"/>
        </xdr:nvSpPr>
        <xdr:spPr>
          <a:xfrm>
            <a:off x="545610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5" name="MMC_R77_C13"/>
          <xdr:cNvSpPr txBox="1"/>
        </xdr:nvSpPr>
        <xdr:spPr>
          <a:xfrm>
            <a:off x="545610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6" name="MMC_R78_C13"/>
          <xdr:cNvSpPr txBox="1"/>
        </xdr:nvSpPr>
        <xdr:spPr>
          <a:xfrm>
            <a:off x="545610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7" name="MMC_R79_C13"/>
          <xdr:cNvSpPr txBox="1"/>
        </xdr:nvSpPr>
        <xdr:spPr>
          <a:xfrm>
            <a:off x="545610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8" name="MMC_R80_C13"/>
          <xdr:cNvSpPr txBox="1"/>
        </xdr:nvSpPr>
        <xdr:spPr>
          <a:xfrm>
            <a:off x="545610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9" name="MMC_R81_C13"/>
          <xdr:cNvSpPr txBox="1"/>
        </xdr:nvSpPr>
        <xdr:spPr>
          <a:xfrm>
            <a:off x="545611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0" name="MMC_R82_C13"/>
          <xdr:cNvSpPr txBox="1"/>
        </xdr:nvSpPr>
        <xdr:spPr>
          <a:xfrm>
            <a:off x="545611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1" name="MMC_R83_C13"/>
          <xdr:cNvSpPr txBox="1"/>
        </xdr:nvSpPr>
        <xdr:spPr>
          <a:xfrm>
            <a:off x="545611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2" name="MMC_R84_C13"/>
          <xdr:cNvSpPr txBox="1"/>
        </xdr:nvSpPr>
        <xdr:spPr>
          <a:xfrm>
            <a:off x="545611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3" name="MMC_R85_C13"/>
          <xdr:cNvSpPr txBox="1"/>
        </xdr:nvSpPr>
        <xdr:spPr>
          <a:xfrm>
            <a:off x="545611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4" name="MMC_R86_C13"/>
          <xdr:cNvSpPr txBox="1"/>
        </xdr:nvSpPr>
        <xdr:spPr>
          <a:xfrm>
            <a:off x="545612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5" name="MMC_R87_C13"/>
          <xdr:cNvSpPr txBox="1"/>
        </xdr:nvSpPr>
        <xdr:spPr>
          <a:xfrm>
            <a:off x="545612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6" name="MMC_R88_C13"/>
          <xdr:cNvSpPr txBox="1"/>
        </xdr:nvSpPr>
        <xdr:spPr>
          <a:xfrm>
            <a:off x="545612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7" name="MMC_R89_C13"/>
          <xdr:cNvSpPr txBox="1"/>
        </xdr:nvSpPr>
        <xdr:spPr>
          <a:xfrm>
            <a:off x="545612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8" name="MMC_R90_C13"/>
          <xdr:cNvSpPr txBox="1"/>
        </xdr:nvSpPr>
        <xdr:spPr>
          <a:xfrm>
            <a:off x="545612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9" name="MMC_R91_C13"/>
          <xdr:cNvSpPr txBox="1"/>
        </xdr:nvSpPr>
        <xdr:spPr>
          <a:xfrm>
            <a:off x="545613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0" name="MMC_R92_C13"/>
          <xdr:cNvSpPr txBox="1"/>
        </xdr:nvSpPr>
        <xdr:spPr>
          <a:xfrm>
            <a:off x="545613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1" name="MMC_R93_C13"/>
          <xdr:cNvSpPr txBox="1"/>
        </xdr:nvSpPr>
        <xdr:spPr>
          <a:xfrm>
            <a:off x="545613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2" name="MMC_R94_C13"/>
          <xdr:cNvSpPr txBox="1"/>
        </xdr:nvSpPr>
        <xdr:spPr>
          <a:xfrm>
            <a:off x="545613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3" name="MMC_R95_C13"/>
          <xdr:cNvSpPr txBox="1"/>
        </xdr:nvSpPr>
        <xdr:spPr>
          <a:xfrm>
            <a:off x="545613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4" name="MMC_R96_C13"/>
          <xdr:cNvSpPr txBox="1"/>
        </xdr:nvSpPr>
        <xdr:spPr>
          <a:xfrm>
            <a:off x="545614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5" name="MMC_R97_C13"/>
          <xdr:cNvSpPr txBox="1"/>
        </xdr:nvSpPr>
        <xdr:spPr>
          <a:xfrm>
            <a:off x="545614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6" name="MMC_R98_C13"/>
          <xdr:cNvSpPr txBox="1"/>
        </xdr:nvSpPr>
        <xdr:spPr>
          <a:xfrm>
            <a:off x="545614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7" name="MMC_R99_C13"/>
          <xdr:cNvSpPr txBox="1"/>
        </xdr:nvSpPr>
        <xdr:spPr>
          <a:xfrm>
            <a:off x="5456115" y="12470307"/>
            <a:ext cx="322518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71368" name="MMC_R01_C14"/>
          <xdr:cNvSpPr txBox="1"/>
        </xdr:nvSpPr>
        <xdr:spPr>
          <a:xfrm>
            <a:off x="4503637" y="12805841"/>
            <a:ext cx="277786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71369" name="MMC_R02_C14"/>
          <xdr:cNvSpPr txBox="1"/>
        </xdr:nvSpPr>
        <xdr:spPr>
          <a:xfrm>
            <a:off x="1206500" y="12805841"/>
            <a:ext cx="837047" cy="28035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71370" name="MMC_R03_C14"/>
          <xdr:cNvSpPr txBox="1"/>
        </xdr:nvSpPr>
        <xdr:spPr>
          <a:xfrm>
            <a:off x="3806366" y="12805841"/>
            <a:ext cx="403300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9%</a:t>
            </a:r>
          </a:p>
        </xdr:txBody>
      </xdr:sp>
      <xdr:sp macro="" textlink="">
        <xdr:nvSpPr>
          <xdr:cNvPr id="171371" name="MMC_R04_C14"/>
          <xdr:cNvSpPr txBox="1"/>
        </xdr:nvSpPr>
        <xdr:spPr>
          <a:xfrm>
            <a:off x="3379849" y="12805841"/>
            <a:ext cx="426517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9%</a:t>
            </a:r>
          </a:p>
        </xdr:txBody>
      </xdr:sp>
      <xdr:sp macro="" textlink="">
        <xdr:nvSpPr>
          <xdr:cNvPr id="171372" name="MMC_R05_C14"/>
          <xdr:cNvSpPr txBox="1"/>
        </xdr:nvSpPr>
        <xdr:spPr>
          <a:xfrm>
            <a:off x="516633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3" name="MMC_R06_C14"/>
          <xdr:cNvSpPr txBox="1"/>
        </xdr:nvSpPr>
        <xdr:spPr>
          <a:xfrm>
            <a:off x="516642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4" name="MMC_R07_C14"/>
          <xdr:cNvSpPr txBox="1"/>
        </xdr:nvSpPr>
        <xdr:spPr>
          <a:xfrm>
            <a:off x="2043547" y="12805841"/>
            <a:ext cx="82603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18%</a:t>
            </a:r>
          </a:p>
        </xdr:txBody>
      </xdr:sp>
      <xdr:sp macro="" textlink="">
        <xdr:nvSpPr>
          <xdr:cNvPr id="171375" name="MMC_R08_C14"/>
          <xdr:cNvSpPr txBox="1"/>
        </xdr:nvSpPr>
        <xdr:spPr>
          <a:xfrm>
            <a:off x="516634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6" name="MMC_R09_C14"/>
          <xdr:cNvSpPr txBox="1"/>
        </xdr:nvSpPr>
        <xdr:spPr>
          <a:xfrm>
            <a:off x="2869579" y="12805841"/>
            <a:ext cx="510270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Optex 11%</a:t>
            </a:r>
          </a:p>
        </xdr:txBody>
      </xdr:sp>
      <xdr:sp macro="" textlink="">
        <xdr:nvSpPr>
          <xdr:cNvPr id="171377" name="MMC_R10_C14"/>
          <xdr:cNvSpPr txBox="1"/>
        </xdr:nvSpPr>
        <xdr:spPr>
          <a:xfrm>
            <a:off x="5037368" y="12805841"/>
            <a:ext cx="128965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8" name="MMC_R11_C14"/>
          <xdr:cNvSpPr txBox="1"/>
        </xdr:nvSpPr>
        <xdr:spPr>
          <a:xfrm>
            <a:off x="516633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9" name="MMC_R12_C14"/>
          <xdr:cNvSpPr txBox="1"/>
        </xdr:nvSpPr>
        <xdr:spPr>
          <a:xfrm>
            <a:off x="516633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0" name="MMC_R13_C14"/>
          <xdr:cNvSpPr txBox="1"/>
        </xdr:nvSpPr>
        <xdr:spPr>
          <a:xfrm>
            <a:off x="516633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1" name="MMC_R14_C14"/>
          <xdr:cNvSpPr txBox="1"/>
        </xdr:nvSpPr>
        <xdr:spPr>
          <a:xfrm>
            <a:off x="516634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2" name="MMC_R15_C14"/>
          <xdr:cNvSpPr txBox="1"/>
        </xdr:nvSpPr>
        <xdr:spPr>
          <a:xfrm>
            <a:off x="516634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3" name="MMC_R16_C14"/>
          <xdr:cNvSpPr txBox="1"/>
        </xdr:nvSpPr>
        <xdr:spPr>
          <a:xfrm>
            <a:off x="516634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4" name="MMC_R17_C14"/>
          <xdr:cNvSpPr txBox="1"/>
        </xdr:nvSpPr>
        <xdr:spPr>
          <a:xfrm>
            <a:off x="4209666" y="12805841"/>
            <a:ext cx="293971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6%</a:t>
            </a:r>
          </a:p>
        </xdr:txBody>
      </xdr:sp>
      <xdr:sp macro="" textlink="">
        <xdr:nvSpPr>
          <xdr:cNvPr id="171385" name="MMC_R18_C14"/>
          <xdr:cNvSpPr txBox="1"/>
        </xdr:nvSpPr>
        <xdr:spPr>
          <a:xfrm>
            <a:off x="516634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6" name="MMC_R19_C14"/>
          <xdr:cNvSpPr txBox="1"/>
        </xdr:nvSpPr>
        <xdr:spPr>
          <a:xfrm>
            <a:off x="516635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7" name="MMC_R20_C14"/>
          <xdr:cNvSpPr txBox="1"/>
        </xdr:nvSpPr>
        <xdr:spPr>
          <a:xfrm>
            <a:off x="516635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8" name="MMC_R21_C14"/>
          <xdr:cNvSpPr txBox="1"/>
        </xdr:nvSpPr>
        <xdr:spPr>
          <a:xfrm>
            <a:off x="516635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9" name="MMC_R22_C14"/>
          <xdr:cNvSpPr txBox="1"/>
        </xdr:nvSpPr>
        <xdr:spPr>
          <a:xfrm>
            <a:off x="516635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0" name="MMC_R23_C14"/>
          <xdr:cNvSpPr txBox="1"/>
        </xdr:nvSpPr>
        <xdr:spPr>
          <a:xfrm>
            <a:off x="516635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1" name="MMC_R24_C14"/>
          <xdr:cNvSpPr txBox="1"/>
        </xdr:nvSpPr>
        <xdr:spPr>
          <a:xfrm>
            <a:off x="516636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2" name="MMC_R25_C14"/>
          <xdr:cNvSpPr txBox="1"/>
        </xdr:nvSpPr>
        <xdr:spPr>
          <a:xfrm>
            <a:off x="516636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3" name="MMC_R26_C14"/>
          <xdr:cNvSpPr txBox="1"/>
        </xdr:nvSpPr>
        <xdr:spPr>
          <a:xfrm>
            <a:off x="516636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4" name="MMC_R27_C14"/>
          <xdr:cNvSpPr txBox="1"/>
        </xdr:nvSpPr>
        <xdr:spPr>
          <a:xfrm>
            <a:off x="516636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5" name="MMC_R28_C14"/>
          <xdr:cNvSpPr txBox="1"/>
        </xdr:nvSpPr>
        <xdr:spPr>
          <a:xfrm>
            <a:off x="516636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6" name="MMC_R29_C14"/>
          <xdr:cNvSpPr txBox="1"/>
        </xdr:nvSpPr>
        <xdr:spPr>
          <a:xfrm>
            <a:off x="516637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7" name="MMC_R30_C14"/>
          <xdr:cNvSpPr txBox="1"/>
        </xdr:nvSpPr>
        <xdr:spPr>
          <a:xfrm>
            <a:off x="516637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8" name="MMC_R31_C14"/>
          <xdr:cNvSpPr txBox="1"/>
        </xdr:nvSpPr>
        <xdr:spPr>
          <a:xfrm>
            <a:off x="516637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9" name="MMC_R32_C14"/>
          <xdr:cNvSpPr txBox="1"/>
        </xdr:nvSpPr>
        <xdr:spPr>
          <a:xfrm>
            <a:off x="516637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0" name="MMC_R33_C14"/>
          <xdr:cNvSpPr txBox="1"/>
        </xdr:nvSpPr>
        <xdr:spPr>
          <a:xfrm>
            <a:off x="516637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1" name="MMC_R34_C14"/>
          <xdr:cNvSpPr txBox="1"/>
        </xdr:nvSpPr>
        <xdr:spPr>
          <a:xfrm>
            <a:off x="516638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2" name="MMC_R35_C14"/>
          <xdr:cNvSpPr txBox="1"/>
        </xdr:nvSpPr>
        <xdr:spPr>
          <a:xfrm>
            <a:off x="516638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3" name="MMC_R36_C14"/>
          <xdr:cNvSpPr txBox="1"/>
        </xdr:nvSpPr>
        <xdr:spPr>
          <a:xfrm>
            <a:off x="516638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4" name="MMC_R37_C14"/>
          <xdr:cNvSpPr txBox="1"/>
        </xdr:nvSpPr>
        <xdr:spPr>
          <a:xfrm>
            <a:off x="516638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5" name="MMC_R38_C14"/>
          <xdr:cNvSpPr txBox="1"/>
        </xdr:nvSpPr>
        <xdr:spPr>
          <a:xfrm>
            <a:off x="516638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6" name="MMC_R39_C14"/>
          <xdr:cNvSpPr txBox="1"/>
        </xdr:nvSpPr>
        <xdr:spPr>
          <a:xfrm>
            <a:off x="516639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7" name="MMC_R40_C14"/>
          <xdr:cNvSpPr txBox="1"/>
        </xdr:nvSpPr>
        <xdr:spPr>
          <a:xfrm>
            <a:off x="516639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8" name="MMC_R41_C14"/>
          <xdr:cNvSpPr txBox="1"/>
        </xdr:nvSpPr>
        <xdr:spPr>
          <a:xfrm>
            <a:off x="516639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9" name="MMC_R42_C14"/>
          <xdr:cNvSpPr txBox="1"/>
        </xdr:nvSpPr>
        <xdr:spPr>
          <a:xfrm>
            <a:off x="516639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0" name="MMC_R43_C14"/>
          <xdr:cNvSpPr txBox="1"/>
        </xdr:nvSpPr>
        <xdr:spPr>
          <a:xfrm>
            <a:off x="516639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1" name="MMC_R44_C14"/>
          <xdr:cNvSpPr txBox="1"/>
        </xdr:nvSpPr>
        <xdr:spPr>
          <a:xfrm>
            <a:off x="516640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2" name="MMC_R45_C14"/>
          <xdr:cNvSpPr txBox="1"/>
        </xdr:nvSpPr>
        <xdr:spPr>
          <a:xfrm>
            <a:off x="516640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3" name="MMC_R46_C14"/>
          <xdr:cNvSpPr txBox="1"/>
        </xdr:nvSpPr>
        <xdr:spPr>
          <a:xfrm>
            <a:off x="516640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4" name="MMC_R47_C14"/>
          <xdr:cNvSpPr txBox="1"/>
        </xdr:nvSpPr>
        <xdr:spPr>
          <a:xfrm>
            <a:off x="516640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5" name="MMC_R48_C14"/>
          <xdr:cNvSpPr txBox="1"/>
        </xdr:nvSpPr>
        <xdr:spPr>
          <a:xfrm>
            <a:off x="516640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6" name="MMC_R49_C14"/>
          <xdr:cNvSpPr txBox="1"/>
        </xdr:nvSpPr>
        <xdr:spPr>
          <a:xfrm>
            <a:off x="516641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7" name="MMC_R50_C14"/>
          <xdr:cNvSpPr txBox="1"/>
        </xdr:nvSpPr>
        <xdr:spPr>
          <a:xfrm>
            <a:off x="516641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8" name="MMC_R51_C14"/>
          <xdr:cNvSpPr txBox="1"/>
        </xdr:nvSpPr>
        <xdr:spPr>
          <a:xfrm>
            <a:off x="516641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9" name="MMC_R52_C14"/>
          <xdr:cNvSpPr txBox="1"/>
        </xdr:nvSpPr>
        <xdr:spPr>
          <a:xfrm>
            <a:off x="516641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0" name="MMC_R53_C14"/>
          <xdr:cNvSpPr txBox="1"/>
        </xdr:nvSpPr>
        <xdr:spPr>
          <a:xfrm>
            <a:off x="516641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1" name="MMC_R54_C14"/>
          <xdr:cNvSpPr txBox="1"/>
        </xdr:nvSpPr>
        <xdr:spPr>
          <a:xfrm>
            <a:off x="516642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2" name="MMC_R55_C14"/>
          <xdr:cNvSpPr txBox="1"/>
        </xdr:nvSpPr>
        <xdr:spPr>
          <a:xfrm>
            <a:off x="516642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3" name="MMC_R56_C14"/>
          <xdr:cNvSpPr txBox="1"/>
        </xdr:nvSpPr>
        <xdr:spPr>
          <a:xfrm>
            <a:off x="516642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4" name="MMC_R57_C14"/>
          <xdr:cNvSpPr txBox="1"/>
        </xdr:nvSpPr>
        <xdr:spPr>
          <a:xfrm>
            <a:off x="516642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5" name="MMC_R58_C14"/>
          <xdr:cNvSpPr txBox="1"/>
        </xdr:nvSpPr>
        <xdr:spPr>
          <a:xfrm>
            <a:off x="4781423" y="12805841"/>
            <a:ext cx="255945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Num 6%</a:t>
            </a:r>
          </a:p>
        </xdr:txBody>
      </xdr:sp>
      <xdr:sp macro="" textlink="">
        <xdr:nvSpPr>
          <xdr:cNvPr id="171426" name="MMC_R59_C14"/>
          <xdr:cNvSpPr txBox="1"/>
        </xdr:nvSpPr>
        <xdr:spPr>
          <a:xfrm>
            <a:off x="516643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7" name="MMC_R60_C14"/>
          <xdr:cNvSpPr txBox="1"/>
        </xdr:nvSpPr>
        <xdr:spPr>
          <a:xfrm>
            <a:off x="516643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8" name="MMC_R61_C14"/>
          <xdr:cNvSpPr txBox="1"/>
        </xdr:nvSpPr>
        <xdr:spPr>
          <a:xfrm>
            <a:off x="516643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9" name="MMC_R62_C14"/>
          <xdr:cNvSpPr txBox="1"/>
        </xdr:nvSpPr>
        <xdr:spPr>
          <a:xfrm>
            <a:off x="516643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0" name="MMC_R63_C14"/>
          <xdr:cNvSpPr txBox="1"/>
        </xdr:nvSpPr>
        <xdr:spPr>
          <a:xfrm>
            <a:off x="516643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1" name="MMC_R64_C14"/>
          <xdr:cNvSpPr txBox="1"/>
        </xdr:nvSpPr>
        <xdr:spPr>
          <a:xfrm>
            <a:off x="516644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2" name="MMC_R65_C14"/>
          <xdr:cNvSpPr txBox="1"/>
        </xdr:nvSpPr>
        <xdr:spPr>
          <a:xfrm>
            <a:off x="516644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3" name="MMC_R66_C14"/>
          <xdr:cNvSpPr txBox="1"/>
        </xdr:nvSpPr>
        <xdr:spPr>
          <a:xfrm>
            <a:off x="516644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4" name="MMC_R67_C14"/>
          <xdr:cNvSpPr txBox="1"/>
        </xdr:nvSpPr>
        <xdr:spPr>
          <a:xfrm>
            <a:off x="516644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5" name="MMC_R68_C14"/>
          <xdr:cNvSpPr txBox="1"/>
        </xdr:nvSpPr>
        <xdr:spPr>
          <a:xfrm>
            <a:off x="516644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6" name="MMC_R69_C14"/>
          <xdr:cNvSpPr txBox="1"/>
        </xdr:nvSpPr>
        <xdr:spPr>
          <a:xfrm>
            <a:off x="516645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7" name="MMC_R70_C14"/>
          <xdr:cNvSpPr txBox="1"/>
        </xdr:nvSpPr>
        <xdr:spPr>
          <a:xfrm>
            <a:off x="516645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8" name="MMC_R71_C14"/>
          <xdr:cNvSpPr txBox="1"/>
        </xdr:nvSpPr>
        <xdr:spPr>
          <a:xfrm>
            <a:off x="516645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9" name="MMC_R72_C14"/>
          <xdr:cNvSpPr txBox="1"/>
        </xdr:nvSpPr>
        <xdr:spPr>
          <a:xfrm>
            <a:off x="516645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0" name="MMC_R73_C14"/>
          <xdr:cNvSpPr txBox="1"/>
        </xdr:nvSpPr>
        <xdr:spPr>
          <a:xfrm>
            <a:off x="516645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1" name="MMC_R74_C14"/>
          <xdr:cNvSpPr txBox="1"/>
        </xdr:nvSpPr>
        <xdr:spPr>
          <a:xfrm>
            <a:off x="516646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2" name="MMC_R75_C14"/>
          <xdr:cNvSpPr txBox="1"/>
        </xdr:nvSpPr>
        <xdr:spPr>
          <a:xfrm>
            <a:off x="516646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3" name="MMC_R76_C14"/>
          <xdr:cNvSpPr txBox="1"/>
        </xdr:nvSpPr>
        <xdr:spPr>
          <a:xfrm>
            <a:off x="516646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4" name="MMC_R77_C14"/>
          <xdr:cNvSpPr txBox="1"/>
        </xdr:nvSpPr>
        <xdr:spPr>
          <a:xfrm>
            <a:off x="516646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5" name="MMC_R78_C14"/>
          <xdr:cNvSpPr txBox="1"/>
        </xdr:nvSpPr>
        <xdr:spPr>
          <a:xfrm>
            <a:off x="516646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6" name="MMC_R79_C14"/>
          <xdr:cNvSpPr txBox="1"/>
        </xdr:nvSpPr>
        <xdr:spPr>
          <a:xfrm>
            <a:off x="516647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7" name="MMC_R80_C14"/>
          <xdr:cNvSpPr txBox="1"/>
        </xdr:nvSpPr>
        <xdr:spPr>
          <a:xfrm>
            <a:off x="516647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8" name="MMC_R81_C14"/>
          <xdr:cNvSpPr txBox="1"/>
        </xdr:nvSpPr>
        <xdr:spPr>
          <a:xfrm>
            <a:off x="516647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9" name="MMC_R82_C14"/>
          <xdr:cNvSpPr txBox="1"/>
        </xdr:nvSpPr>
        <xdr:spPr>
          <a:xfrm>
            <a:off x="516647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0" name="MMC_R83_C14"/>
          <xdr:cNvSpPr txBox="1"/>
        </xdr:nvSpPr>
        <xdr:spPr>
          <a:xfrm>
            <a:off x="516647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1" name="MMC_R84_C14"/>
          <xdr:cNvSpPr txBox="1"/>
        </xdr:nvSpPr>
        <xdr:spPr>
          <a:xfrm>
            <a:off x="516648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2" name="MMC_R85_C14"/>
          <xdr:cNvSpPr txBox="1"/>
        </xdr:nvSpPr>
        <xdr:spPr>
          <a:xfrm>
            <a:off x="516648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3" name="MMC_R86_C14"/>
          <xdr:cNvSpPr txBox="1"/>
        </xdr:nvSpPr>
        <xdr:spPr>
          <a:xfrm>
            <a:off x="516648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4" name="MMC_R87_C14"/>
          <xdr:cNvSpPr txBox="1"/>
        </xdr:nvSpPr>
        <xdr:spPr>
          <a:xfrm>
            <a:off x="516648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5" name="MMC_R88_C14"/>
          <xdr:cNvSpPr txBox="1"/>
        </xdr:nvSpPr>
        <xdr:spPr>
          <a:xfrm>
            <a:off x="516648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6" name="MMC_R89_C14"/>
          <xdr:cNvSpPr txBox="1"/>
        </xdr:nvSpPr>
        <xdr:spPr>
          <a:xfrm>
            <a:off x="516649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7" name="MMC_R90_C14"/>
          <xdr:cNvSpPr txBox="1"/>
        </xdr:nvSpPr>
        <xdr:spPr>
          <a:xfrm>
            <a:off x="516649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8" name="MMC_R91_C14"/>
          <xdr:cNvSpPr txBox="1"/>
        </xdr:nvSpPr>
        <xdr:spPr>
          <a:xfrm>
            <a:off x="516649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9" name="MMC_R92_C14"/>
          <xdr:cNvSpPr txBox="1"/>
        </xdr:nvSpPr>
        <xdr:spPr>
          <a:xfrm>
            <a:off x="516649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0" name="MMC_R93_C14"/>
          <xdr:cNvSpPr txBox="1"/>
        </xdr:nvSpPr>
        <xdr:spPr>
          <a:xfrm>
            <a:off x="516649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1" name="MMC_R94_C14"/>
          <xdr:cNvSpPr txBox="1"/>
        </xdr:nvSpPr>
        <xdr:spPr>
          <a:xfrm>
            <a:off x="516650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2" name="MMC_R95_C14"/>
          <xdr:cNvSpPr txBox="1"/>
        </xdr:nvSpPr>
        <xdr:spPr>
          <a:xfrm>
            <a:off x="516650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3" name="MMC_R96_C14"/>
          <xdr:cNvSpPr txBox="1"/>
        </xdr:nvSpPr>
        <xdr:spPr>
          <a:xfrm>
            <a:off x="516650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4" name="MMC_R97_C14"/>
          <xdr:cNvSpPr txBox="1"/>
        </xdr:nvSpPr>
        <xdr:spPr>
          <a:xfrm>
            <a:off x="516650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5" name="MMC_R98_C14"/>
          <xdr:cNvSpPr txBox="1"/>
        </xdr:nvSpPr>
        <xdr:spPr>
          <a:xfrm>
            <a:off x="516650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6" name="MMC_R99_C14"/>
          <xdr:cNvSpPr txBox="1"/>
        </xdr:nvSpPr>
        <xdr:spPr>
          <a:xfrm>
            <a:off x="5166504" y="12805841"/>
            <a:ext cx="612168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13%</a:t>
            </a:r>
          </a:p>
        </xdr:txBody>
      </xdr:sp>
      <xdr:sp macro="" textlink="">
        <xdr:nvSpPr>
          <xdr:cNvPr id="171467" name="MMC_R01_C15"/>
          <xdr:cNvSpPr txBox="1"/>
        </xdr:nvSpPr>
        <xdr:spPr>
          <a:xfrm>
            <a:off x="4038537" y="13086200"/>
            <a:ext cx="29449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8" name="MMC_R02_C15"/>
          <xdr:cNvSpPr txBox="1"/>
        </xdr:nvSpPr>
        <xdr:spPr>
          <a:xfrm>
            <a:off x="4126894" y="13086200"/>
            <a:ext cx="2" cy="220225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9" name="MMC_R03_C15"/>
          <xdr:cNvSpPr txBox="1"/>
        </xdr:nvSpPr>
        <xdr:spPr>
          <a:xfrm>
            <a:off x="412691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0" name="MMC_R04_C15"/>
          <xdr:cNvSpPr txBox="1"/>
        </xdr:nvSpPr>
        <xdr:spPr>
          <a:xfrm>
            <a:off x="412694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1" name="MMC_R05_C15"/>
          <xdr:cNvSpPr txBox="1"/>
        </xdr:nvSpPr>
        <xdr:spPr>
          <a:xfrm>
            <a:off x="412699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2" name="MMC_R06_C15"/>
          <xdr:cNvSpPr txBox="1"/>
        </xdr:nvSpPr>
        <xdr:spPr>
          <a:xfrm>
            <a:off x="412688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3" name="MMC_R07_C15"/>
          <xdr:cNvSpPr txBox="1"/>
        </xdr:nvSpPr>
        <xdr:spPr>
          <a:xfrm>
            <a:off x="412689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4" name="MMC_R08_C15"/>
          <xdr:cNvSpPr txBox="1"/>
        </xdr:nvSpPr>
        <xdr:spPr>
          <a:xfrm>
            <a:off x="2848297" y="13086200"/>
            <a:ext cx="201237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4%</a:t>
            </a:r>
          </a:p>
        </xdr:txBody>
      </xdr:sp>
      <xdr:sp macro="" textlink="">
        <xdr:nvSpPr>
          <xdr:cNvPr id="171475" name="MMC_R09_C15"/>
          <xdr:cNvSpPr txBox="1"/>
        </xdr:nvSpPr>
        <xdr:spPr>
          <a:xfrm>
            <a:off x="412689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6" name="MMC_R10_C15"/>
          <xdr:cNvSpPr txBox="1"/>
        </xdr:nvSpPr>
        <xdr:spPr>
          <a:xfrm>
            <a:off x="412690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7" name="MMC_R11_C15"/>
          <xdr:cNvSpPr txBox="1"/>
        </xdr:nvSpPr>
        <xdr:spPr>
          <a:xfrm>
            <a:off x="3569804" y="13086200"/>
            <a:ext cx="9816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8" name="MMC_R12_C15"/>
          <xdr:cNvSpPr txBox="1"/>
        </xdr:nvSpPr>
        <xdr:spPr>
          <a:xfrm>
            <a:off x="412692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9" name="MMC_R13_C15"/>
          <xdr:cNvSpPr txBox="1"/>
        </xdr:nvSpPr>
        <xdr:spPr>
          <a:xfrm>
            <a:off x="412693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0" name="MMC_R14_C15"/>
          <xdr:cNvSpPr txBox="1"/>
        </xdr:nvSpPr>
        <xdr:spPr>
          <a:xfrm>
            <a:off x="412694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1" name="MMC_R15_C15"/>
          <xdr:cNvSpPr txBox="1"/>
        </xdr:nvSpPr>
        <xdr:spPr>
          <a:xfrm>
            <a:off x="2590616" y="13086200"/>
            <a:ext cx="257681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Keyence 6%</a:t>
            </a:r>
          </a:p>
        </xdr:txBody>
      </xdr:sp>
      <xdr:sp macro="" textlink="">
        <xdr:nvSpPr>
          <xdr:cNvPr id="171482" name="MMC_R16_C15"/>
          <xdr:cNvSpPr txBox="1"/>
        </xdr:nvSpPr>
        <xdr:spPr>
          <a:xfrm>
            <a:off x="412694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3" name="MMC_R17_C15"/>
          <xdr:cNvSpPr txBox="1"/>
        </xdr:nvSpPr>
        <xdr:spPr>
          <a:xfrm>
            <a:off x="412695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4" name="MMC_R18_C15"/>
          <xdr:cNvSpPr txBox="1"/>
        </xdr:nvSpPr>
        <xdr:spPr>
          <a:xfrm>
            <a:off x="3820122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5" name="MMC_R19_C15"/>
          <xdr:cNvSpPr txBox="1"/>
        </xdr:nvSpPr>
        <xdr:spPr>
          <a:xfrm>
            <a:off x="412701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6" name="MMC_R20_C15"/>
          <xdr:cNvSpPr txBox="1"/>
        </xdr:nvSpPr>
        <xdr:spPr>
          <a:xfrm>
            <a:off x="412703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7" name="MMC_R21_C15"/>
          <xdr:cNvSpPr txBox="1"/>
        </xdr:nvSpPr>
        <xdr:spPr>
          <a:xfrm>
            <a:off x="412688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8" name="MMC_R22_C15"/>
          <xdr:cNvSpPr txBox="1"/>
        </xdr:nvSpPr>
        <xdr:spPr>
          <a:xfrm>
            <a:off x="412688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9" name="MMC_R23_C15"/>
          <xdr:cNvSpPr txBox="1"/>
        </xdr:nvSpPr>
        <xdr:spPr>
          <a:xfrm>
            <a:off x="3869204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0" name="MMC_R24_C15"/>
          <xdr:cNvSpPr txBox="1"/>
        </xdr:nvSpPr>
        <xdr:spPr>
          <a:xfrm>
            <a:off x="412689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1" name="MMC_R25_C15"/>
          <xdr:cNvSpPr txBox="1"/>
        </xdr:nvSpPr>
        <xdr:spPr>
          <a:xfrm>
            <a:off x="4117068" y="13086200"/>
            <a:ext cx="4908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2" name="MMC_R26_C15"/>
          <xdr:cNvSpPr txBox="1"/>
        </xdr:nvSpPr>
        <xdr:spPr>
          <a:xfrm>
            <a:off x="3763678" y="13086200"/>
            <a:ext cx="5644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3" name="MMC_R27_C15"/>
          <xdr:cNvSpPr txBox="1"/>
        </xdr:nvSpPr>
        <xdr:spPr>
          <a:xfrm>
            <a:off x="412689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4" name="MMC_R28_C15"/>
          <xdr:cNvSpPr txBox="1"/>
        </xdr:nvSpPr>
        <xdr:spPr>
          <a:xfrm>
            <a:off x="1206500" y="13086200"/>
            <a:ext cx="111416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Pentair 24%</a:t>
            </a:r>
          </a:p>
        </xdr:txBody>
      </xdr:sp>
      <xdr:sp macro="" textlink="">
        <xdr:nvSpPr>
          <xdr:cNvPr id="171495" name="MMC_R29_C15"/>
          <xdr:cNvSpPr txBox="1"/>
        </xdr:nvSpPr>
        <xdr:spPr>
          <a:xfrm>
            <a:off x="412690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6" name="MMC_R30_C15"/>
          <xdr:cNvSpPr txBox="1"/>
        </xdr:nvSpPr>
        <xdr:spPr>
          <a:xfrm>
            <a:off x="4121976" y="13086200"/>
            <a:ext cx="4908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7" name="MMC_R31_C15"/>
          <xdr:cNvSpPr txBox="1"/>
        </xdr:nvSpPr>
        <xdr:spPr>
          <a:xfrm>
            <a:off x="412690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8" name="MMC_R32_C15"/>
          <xdr:cNvSpPr txBox="1"/>
        </xdr:nvSpPr>
        <xdr:spPr>
          <a:xfrm>
            <a:off x="412690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9" name="MMC_R33_C15"/>
          <xdr:cNvSpPr txBox="1"/>
        </xdr:nvSpPr>
        <xdr:spPr>
          <a:xfrm>
            <a:off x="412690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0" name="MMC_R34_C15"/>
          <xdr:cNvSpPr txBox="1"/>
        </xdr:nvSpPr>
        <xdr:spPr>
          <a:xfrm>
            <a:off x="412691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1" name="MMC_R35_C15"/>
          <xdr:cNvSpPr txBox="1"/>
        </xdr:nvSpPr>
        <xdr:spPr>
          <a:xfrm>
            <a:off x="3422558" y="13086200"/>
            <a:ext cx="147246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3%</a:t>
            </a:r>
          </a:p>
        </xdr:txBody>
      </xdr:sp>
      <xdr:sp macro="" textlink="">
        <xdr:nvSpPr>
          <xdr:cNvPr id="171502" name="MMC_R36_C15"/>
          <xdr:cNvSpPr txBox="1"/>
        </xdr:nvSpPr>
        <xdr:spPr>
          <a:xfrm>
            <a:off x="412691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3" name="MMC_R37_C15"/>
          <xdr:cNvSpPr txBox="1"/>
        </xdr:nvSpPr>
        <xdr:spPr>
          <a:xfrm>
            <a:off x="412691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4" name="MMC_R38_C15"/>
          <xdr:cNvSpPr txBox="1"/>
        </xdr:nvSpPr>
        <xdr:spPr>
          <a:xfrm>
            <a:off x="412691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5" name="MMC_R39_C15"/>
          <xdr:cNvSpPr txBox="1"/>
        </xdr:nvSpPr>
        <xdr:spPr>
          <a:xfrm>
            <a:off x="2320664" y="13086200"/>
            <a:ext cx="26995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Lenze 6%</a:t>
            </a:r>
          </a:p>
        </xdr:txBody>
      </xdr:sp>
      <xdr:sp macro="" textlink="">
        <xdr:nvSpPr>
          <xdr:cNvPr id="171506" name="MMC_R40_C15"/>
          <xdr:cNvSpPr txBox="1"/>
        </xdr:nvSpPr>
        <xdr:spPr>
          <a:xfrm>
            <a:off x="412692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7" name="MMC_R41_C15"/>
          <xdr:cNvSpPr txBox="1"/>
        </xdr:nvSpPr>
        <xdr:spPr>
          <a:xfrm>
            <a:off x="412692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8" name="MMC_R42_C15"/>
          <xdr:cNvSpPr txBox="1"/>
        </xdr:nvSpPr>
        <xdr:spPr>
          <a:xfrm>
            <a:off x="412692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9" name="MMC_R43_C15"/>
          <xdr:cNvSpPr txBox="1"/>
        </xdr:nvSpPr>
        <xdr:spPr>
          <a:xfrm>
            <a:off x="412692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0" name="MMC_R44_C15"/>
          <xdr:cNvSpPr txBox="1"/>
        </xdr:nvSpPr>
        <xdr:spPr>
          <a:xfrm>
            <a:off x="412693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1" name="MMC_R45_C15"/>
          <xdr:cNvSpPr txBox="1"/>
        </xdr:nvSpPr>
        <xdr:spPr>
          <a:xfrm>
            <a:off x="4004180" y="13086200"/>
            <a:ext cx="34357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2" name="MMC_R46_C15"/>
          <xdr:cNvSpPr txBox="1"/>
        </xdr:nvSpPr>
        <xdr:spPr>
          <a:xfrm>
            <a:off x="412693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3" name="MMC_R47_C15"/>
          <xdr:cNvSpPr txBox="1"/>
        </xdr:nvSpPr>
        <xdr:spPr>
          <a:xfrm>
            <a:off x="412693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4" name="MMC_R48_C15"/>
          <xdr:cNvSpPr txBox="1"/>
        </xdr:nvSpPr>
        <xdr:spPr>
          <a:xfrm>
            <a:off x="412693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5" name="MMC_R49_C15"/>
          <xdr:cNvSpPr txBox="1"/>
        </xdr:nvSpPr>
        <xdr:spPr>
          <a:xfrm>
            <a:off x="3918286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6" name="MMC_R50_C15"/>
          <xdr:cNvSpPr txBox="1"/>
        </xdr:nvSpPr>
        <xdr:spPr>
          <a:xfrm>
            <a:off x="412694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7" name="MMC_R51_C15"/>
          <xdr:cNvSpPr txBox="1"/>
        </xdr:nvSpPr>
        <xdr:spPr>
          <a:xfrm>
            <a:off x="3240954" y="13086200"/>
            <a:ext cx="18160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Weg 4%</a:t>
            </a:r>
          </a:p>
        </xdr:txBody>
      </xdr:sp>
      <xdr:sp macro="" textlink="">
        <xdr:nvSpPr>
          <xdr:cNvPr id="171518" name="MMC_R52_C15"/>
          <xdr:cNvSpPr txBox="1"/>
        </xdr:nvSpPr>
        <xdr:spPr>
          <a:xfrm>
            <a:off x="4097435" y="13086200"/>
            <a:ext cx="19633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9" name="MMC_R53_C15"/>
          <xdr:cNvSpPr txBox="1"/>
        </xdr:nvSpPr>
        <xdr:spPr>
          <a:xfrm>
            <a:off x="412694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0" name="MMC_R54_C15"/>
          <xdr:cNvSpPr txBox="1"/>
        </xdr:nvSpPr>
        <xdr:spPr>
          <a:xfrm>
            <a:off x="3667968" y="13086200"/>
            <a:ext cx="95710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1" name="MMC_R55_C15"/>
          <xdr:cNvSpPr txBox="1"/>
        </xdr:nvSpPr>
        <xdr:spPr>
          <a:xfrm>
            <a:off x="412695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2" name="MMC_R56_C15"/>
          <xdr:cNvSpPr txBox="1"/>
        </xdr:nvSpPr>
        <xdr:spPr>
          <a:xfrm>
            <a:off x="412695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3" name="MMC_R57_C15"/>
          <xdr:cNvSpPr txBox="1"/>
        </xdr:nvSpPr>
        <xdr:spPr>
          <a:xfrm>
            <a:off x="412695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4" name="MMC_R58_C15"/>
          <xdr:cNvSpPr txBox="1"/>
        </xdr:nvSpPr>
        <xdr:spPr>
          <a:xfrm>
            <a:off x="412695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5" name="MMC_R59_C15"/>
          <xdr:cNvSpPr txBox="1"/>
        </xdr:nvSpPr>
        <xdr:spPr>
          <a:xfrm>
            <a:off x="412696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6" name="MMC_R60_C15"/>
          <xdr:cNvSpPr txBox="1"/>
        </xdr:nvSpPr>
        <xdr:spPr>
          <a:xfrm>
            <a:off x="412696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7" name="MMC_R61_C15"/>
          <xdr:cNvSpPr txBox="1"/>
        </xdr:nvSpPr>
        <xdr:spPr>
          <a:xfrm>
            <a:off x="412696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8" name="MMC_R62_C15"/>
          <xdr:cNvSpPr txBox="1"/>
        </xdr:nvSpPr>
        <xdr:spPr>
          <a:xfrm>
            <a:off x="412696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9" name="MMC_R63_C15"/>
          <xdr:cNvSpPr txBox="1"/>
        </xdr:nvSpPr>
        <xdr:spPr>
          <a:xfrm>
            <a:off x="412696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0" name="MMC_R64_C15"/>
          <xdr:cNvSpPr txBox="1"/>
        </xdr:nvSpPr>
        <xdr:spPr>
          <a:xfrm>
            <a:off x="412697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1" name="MMC_R65_C15"/>
          <xdr:cNvSpPr txBox="1"/>
        </xdr:nvSpPr>
        <xdr:spPr>
          <a:xfrm>
            <a:off x="412697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2" name="MMC_R66_C15"/>
          <xdr:cNvSpPr txBox="1"/>
        </xdr:nvSpPr>
        <xdr:spPr>
          <a:xfrm>
            <a:off x="412697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3" name="MMC_R67_C15"/>
          <xdr:cNvSpPr txBox="1"/>
        </xdr:nvSpPr>
        <xdr:spPr>
          <a:xfrm>
            <a:off x="412697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4" name="MMC_R68_C15"/>
          <xdr:cNvSpPr txBox="1"/>
        </xdr:nvSpPr>
        <xdr:spPr>
          <a:xfrm>
            <a:off x="412697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5" name="MMC_R69_C15"/>
          <xdr:cNvSpPr txBox="1"/>
        </xdr:nvSpPr>
        <xdr:spPr>
          <a:xfrm>
            <a:off x="412698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6" name="MMC_R70_C15"/>
          <xdr:cNvSpPr txBox="1"/>
        </xdr:nvSpPr>
        <xdr:spPr>
          <a:xfrm>
            <a:off x="412698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7" name="MMC_R71_C15"/>
          <xdr:cNvSpPr txBox="1"/>
        </xdr:nvSpPr>
        <xdr:spPr>
          <a:xfrm>
            <a:off x="412698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8" name="MMC_R72_C15"/>
          <xdr:cNvSpPr txBox="1"/>
        </xdr:nvSpPr>
        <xdr:spPr>
          <a:xfrm>
            <a:off x="412698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9" name="MMC_R73_C15"/>
          <xdr:cNvSpPr txBox="1"/>
        </xdr:nvSpPr>
        <xdr:spPr>
          <a:xfrm>
            <a:off x="412698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0" name="MMC_R74_C15"/>
          <xdr:cNvSpPr txBox="1"/>
        </xdr:nvSpPr>
        <xdr:spPr>
          <a:xfrm>
            <a:off x="3049534" y="13086200"/>
            <a:ext cx="191420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Lti Drives 4%</a:t>
            </a:r>
          </a:p>
        </xdr:txBody>
      </xdr:sp>
      <xdr:sp macro="" textlink="">
        <xdr:nvSpPr>
          <xdr:cNvPr id="171541" name="MMC_R75_C15"/>
          <xdr:cNvSpPr txBox="1"/>
        </xdr:nvSpPr>
        <xdr:spPr>
          <a:xfrm>
            <a:off x="412699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2" name="MMC_R76_C15"/>
          <xdr:cNvSpPr txBox="1"/>
        </xdr:nvSpPr>
        <xdr:spPr>
          <a:xfrm>
            <a:off x="412699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3" name="MMC_R77_C15"/>
          <xdr:cNvSpPr txBox="1"/>
        </xdr:nvSpPr>
        <xdr:spPr>
          <a:xfrm>
            <a:off x="412699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4" name="MMC_R78_C15"/>
          <xdr:cNvSpPr txBox="1"/>
        </xdr:nvSpPr>
        <xdr:spPr>
          <a:xfrm>
            <a:off x="412699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5" name="MMC_R79_C15"/>
          <xdr:cNvSpPr txBox="1"/>
        </xdr:nvSpPr>
        <xdr:spPr>
          <a:xfrm>
            <a:off x="412700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6" name="MMC_R80_C15"/>
          <xdr:cNvSpPr txBox="1"/>
        </xdr:nvSpPr>
        <xdr:spPr>
          <a:xfrm>
            <a:off x="412700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7" name="MMC_R81_C15"/>
          <xdr:cNvSpPr txBox="1"/>
        </xdr:nvSpPr>
        <xdr:spPr>
          <a:xfrm>
            <a:off x="412700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8" name="MMC_R82_C15"/>
          <xdr:cNvSpPr txBox="1"/>
        </xdr:nvSpPr>
        <xdr:spPr>
          <a:xfrm>
            <a:off x="412700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9" name="MMC_R83_C15"/>
          <xdr:cNvSpPr txBox="1"/>
        </xdr:nvSpPr>
        <xdr:spPr>
          <a:xfrm>
            <a:off x="412700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0" name="MMC_R84_C15"/>
          <xdr:cNvSpPr txBox="1"/>
        </xdr:nvSpPr>
        <xdr:spPr>
          <a:xfrm>
            <a:off x="412701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1" name="MMC_R85_C15"/>
          <xdr:cNvSpPr txBox="1"/>
        </xdr:nvSpPr>
        <xdr:spPr>
          <a:xfrm>
            <a:off x="3967368" y="13086200"/>
            <a:ext cx="3681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2" name="MMC_R86_C15"/>
          <xdr:cNvSpPr txBox="1"/>
        </xdr:nvSpPr>
        <xdr:spPr>
          <a:xfrm>
            <a:off x="412701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3" name="MMC_R87_C15"/>
          <xdr:cNvSpPr txBox="1"/>
        </xdr:nvSpPr>
        <xdr:spPr>
          <a:xfrm>
            <a:off x="412701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4" name="MMC_R88_C15"/>
          <xdr:cNvSpPr txBox="1"/>
        </xdr:nvSpPr>
        <xdr:spPr>
          <a:xfrm>
            <a:off x="412701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5" name="MMC_R89_C15"/>
          <xdr:cNvSpPr txBox="1"/>
        </xdr:nvSpPr>
        <xdr:spPr>
          <a:xfrm>
            <a:off x="412702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6" name="MMC_R90_C15"/>
          <xdr:cNvSpPr txBox="1"/>
        </xdr:nvSpPr>
        <xdr:spPr>
          <a:xfrm>
            <a:off x="412702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7" name="MMC_R91_C15"/>
          <xdr:cNvSpPr txBox="1"/>
        </xdr:nvSpPr>
        <xdr:spPr>
          <a:xfrm>
            <a:off x="412702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8" name="MMC_R92_C15"/>
          <xdr:cNvSpPr txBox="1"/>
        </xdr:nvSpPr>
        <xdr:spPr>
          <a:xfrm>
            <a:off x="412702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9" name="MMC_R93_C15"/>
          <xdr:cNvSpPr txBox="1"/>
        </xdr:nvSpPr>
        <xdr:spPr>
          <a:xfrm>
            <a:off x="412702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0" name="MMC_R94_C15"/>
          <xdr:cNvSpPr txBox="1"/>
        </xdr:nvSpPr>
        <xdr:spPr>
          <a:xfrm>
            <a:off x="412703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1" name="MMC_R95_C15"/>
          <xdr:cNvSpPr txBox="1"/>
        </xdr:nvSpPr>
        <xdr:spPr>
          <a:xfrm>
            <a:off x="412703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2" name="MMC_R96_C15"/>
          <xdr:cNvSpPr txBox="1"/>
        </xdr:nvSpPr>
        <xdr:spPr>
          <a:xfrm>
            <a:off x="4067986" y="13086200"/>
            <a:ext cx="29449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3" name="MMC_R97_C15"/>
          <xdr:cNvSpPr txBox="1"/>
        </xdr:nvSpPr>
        <xdr:spPr>
          <a:xfrm>
            <a:off x="412703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4" name="MMC_R98_C15"/>
          <xdr:cNvSpPr txBox="1"/>
        </xdr:nvSpPr>
        <xdr:spPr>
          <a:xfrm>
            <a:off x="412703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5" name="MMC_R99_C15"/>
          <xdr:cNvSpPr txBox="1"/>
        </xdr:nvSpPr>
        <xdr:spPr>
          <a:xfrm>
            <a:off x="4127078" y="13086200"/>
            <a:ext cx="165161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36%</a:t>
            </a:r>
          </a:p>
        </xdr:txBody>
      </xdr:sp>
    </xdr:grpSp>
    <xdr:clientData/>
  </xdr:twoCellAnchor>
  <xdr:twoCellAnchor>
    <xdr:from>
      <xdr:col>1</xdr:col>
      <xdr:colOff>0</xdr:colOff>
      <xdr:row>30</xdr:row>
      <xdr:rowOff>0</xdr:rowOff>
    </xdr:from>
    <xdr:to>
      <xdr:col>10</xdr:col>
      <xdr:colOff>964406</xdr:colOff>
      <xdr:row>50</xdr:row>
      <xdr:rowOff>0</xdr:rowOff>
    </xdr:to>
    <xdr:sp macro="" textlink="">
      <xdr:nvSpPr>
        <xdr:cNvPr id="171567" name="json"/>
        <xdr:cNvSpPr txBox="1"/>
      </xdr:nvSpPr>
      <xdr:spPr>
        <a:xfrm>
          <a:off x="178594" y="6405563"/>
          <a:ext cx="9465468" cy="381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{</a:t>
          </a:r>
        </a:p>
        <a:p>
          <a:r>
            <a:rPr lang="en-US" sz="1100"/>
            <a:t>"graphtype":"marimekko",</a:t>
          </a:r>
        </a:p>
        <a:p>
          <a:r>
            <a:rPr lang="en-US" sz="1100"/>
            <a:t>"scalex":"39",</a:t>
          </a:r>
        </a:p>
        <a:p>
          <a:r>
            <a:rPr lang="en-US" sz="1100"/>
            <a:t>"scaley":"26",</a:t>
          </a:r>
        </a:p>
        <a:p>
          <a:r>
            <a:rPr lang="en-US" sz="1100"/>
            <a:t>"offsetx":"1.8",</a:t>
          </a:r>
        </a:p>
        <a:p>
          <a:r>
            <a:rPr lang="en-US" sz="1100"/>
            <a:t>"lwidth":"27.517",</a:t>
          </a:r>
        </a:p>
        <a:p>
          <a:r>
            <a:rPr lang="en-US" sz="1100"/>
            <a:t>"lheight":"19.05",</a:t>
          </a:r>
        </a:p>
        <a:p>
          <a:r>
            <a:rPr lang="en-US" sz="1100"/>
            <a:t>"title":"Top Players (&gt;={{ratio_thresold}}%MS) ranking for Automation Markets {{currency}}{{size}} {{display}} ",</a:t>
          </a:r>
        </a:p>
        <a:p>
          <a:r>
            <a:rPr lang="en-US" sz="1100"/>
            <a:t>"size":104991.775070619,</a:t>
          </a:r>
        </a:p>
        <a:p>
          <a:r>
            <a:rPr lang="en-US" sz="1100"/>
            <a:t>"currency":"$",</a:t>
          </a:r>
        </a:p>
        <a:p>
          <a:r>
            <a:rPr lang="en-US" sz="1100"/>
            <a:t>"display":"Bn",</a:t>
          </a:r>
        </a:p>
        <a:p>
          <a:r>
            <a:rPr lang="en-US" sz="1100"/>
            <a:t>"internal":"Mn",</a:t>
          </a:r>
        </a:p>
        <a:p>
          <a:r>
            <a:rPr lang="en-US" sz="1100"/>
            <a:t>"ratio_threshold":3,</a:t>
          </a:r>
        </a:p>
        <a:p>
          <a:r>
            <a:rPr lang="en-US" sz="1100"/>
            <a:t>"color_box_line":"808080",</a:t>
          </a:r>
        </a:p>
        <a:p>
          <a:r>
            <a:rPr lang="en-US" sz="1100"/>
            <a:t>"color_header_fill":"FFFFFF",</a:t>
          </a:r>
        </a:p>
        <a:p>
          <a:r>
            <a:rPr lang="en-US" sz="1100"/>
            <a:t>"color_header_text":"404040",</a:t>
          </a:r>
        </a:p>
        <a:p>
          <a:r>
            <a:rPr lang="en-US" sz="1100"/>
            <a:t>"color_columns_text":"404040",</a:t>
          </a:r>
        </a:p>
        <a:p>
          <a:r>
            <a:rPr lang="en-US" sz="1100"/>
            <a:t>"displayTitleRows":{</a:t>
          </a:r>
        </a:p>
        <a:p>
          <a:r>
            <a:rPr lang="en-US" sz="1100"/>
            <a:t>"01- DCS":"DCS","03-2 PLC":"PLC","04- C&amp;S + Safety":"C&amp;S + Safety","02-2 Drives LV":"Drives LV","02-1 Motor Starters &amp; Contactors":"Contactors + MCC","02-3 Motion":"Motion","03-3 CNC":"CNC","01- Control Valves":"Control Valves","04- Sensors":"Sensors","01- Instruments":"Instruments","03-1 OP &amp; IPC":"OP &amp; IPC","01- Analyzers":"Analyzers","02-2 Drives MV":"Drives MV","01- Safety Systems":"Safety Systems","03-3 Vision":"Vision"},</a:t>
          </a:r>
        </a:p>
        <a:p>
          <a:r>
            <a:rPr lang="en-US" sz="1100"/>
            <a:t>"shortTitleRows":{</a:t>
          </a:r>
        </a:p>
        <a:p>
          <a:r>
            <a:rPr lang="en-US" sz="1100"/>
            <a:t>"01- DCS":"DCS","03-2 PLC":"PLC","04- C&amp;S + Safety":"C&amp;S","02-2 Drives LV":"VSD","02-1 Motor Starters &amp; Contactors":"MSC","02-3 Motion":"Mot","03-3 CNC":"CNC","01- Control Valves":"CTV","04- Sensors":"Sen","01- Instruments":"Ins","03-1 OP &amp; IPC":"OPI","01- Analyzers":"ANZ","02-2 Drives MV":"DRS","01- Safety Systems":"SAS","03-3 Vision":"Vis"},</a:t>
          </a:r>
        </a:p>
        <a:p>
          <a:r>
            <a:rPr lang="en-US" sz="1100"/>
            <a:t>"Colors":{</a:t>
          </a:r>
        </a:p>
        <a:p>
          <a:r>
            <a:rPr lang="en-US" sz="1100"/>
            <a:t>"Turck":"FFFFFF","Heidenhain":"5AAE61","M-System":"FFFFFF","Hyosung Power and Industrial S":"FFFFFF","Yokogawa":"FFFFFF","ABB":"FFFFFF","Omron":"FFFFFF","Hitachi":"FFFFFF","Optex":"FFFFFF","Metso Automation":"FFFFFF","Beckhoff":"FFFFFF","Endress+Hauser":"FFFFFF","Parker Industrial":"FFFFFF","Mitsubishi Electric":"FFFFFF","Keyence":"FFFFFF","Sunx":"FFFFFF","Wika":"FFFFFF","Moore Industries":"FFFFFF","Rockwell Automation":"FFFFFF","Delta Electronics":"FFFFFF","Fuji Electric":"FFFFFF","Emerson Process Management":"FFFFFF","Haas":"FFFFFF","Festo":"FFFFFF","Advantech":"FFFFFF","Moog":"FFFFFF","DKK-TOA Corporation":"FFFFFF","Pentair":"FFFFFF","Idec":"FFFFFF","Danfoss":"FFFFFF","Zebra Technologies":"FFFFFF","Cognex":"FFFFFF","Baumer":"FFFFFF","Hokuyo":"FFFFFF","Phoenix Contact":"FFFFFF","Emerson Electric":"FFFFFF","Kontron":"FFFFFF","Oriental Motor":"FFFFFF","Lenze":"FFFFFF","Powell Industries":"FFFFFF","Horiba Analytical":"FFFFFF","Contec":"FFFFFF","Altus":"FFFFFF","HIMA":"FFFFFF","GSK CNC EQUIPMENT":"FFFFFF","Leuze":"FFFFFF","Pepperl+Fuchs":"FFFFFF","Yaskawa":"FFFFFF","Siemens":"FFFFFF","SPX Valves &amp; Controls":"FFFFFF","Weg":"FFFFFF","Schneider Electric":"FFFFFF","Euchner":"FFFFFF","Tamagawa Seiki":"FFFFFF","Nihon Koso":"FFFFFF","National Instruments":"FFFFFF","Smar":"FFFFFF","Num":"FFFFFF","Wago":"FFFFFF","Thermo Scientific":"FFFFFF","Sanyo Denki":"FFFFFF","Banner":"FFFFFF","NEC":"FFFFFF","Beijer Electronics":"FFFFFF","Honeywell":"FFFFFF","CCI":"FFFFFF","GE":"FFFFFF","Fagor Automation":"FFFFFF","PR Electronics":"FFFFFF","Weidmuller":"FFFFFF","Samson":"FFFFFF","Eaton":"FFFFFF","Teledyne":"FFFFFF","Lti Drives":"FFFFFF","Krohne":"FFFFFF","Ametek":"FFFFFF","Pilz":"FFFFFF","Panasonic":"FFFFFF","Comeca":"FFFFFF","TMEIC":"FFFFFF","Halma":"FFFFFF","Flowserve Flow Control Division":"FFFFFF","B&amp;R":"FFFFFF","EVOC Group":"FFFFFF","Contrinex":"FFFFFF","Mettler-Toledo":"FFFFFF","Azbil":"FFFFFF","FANUC":"FFFFFF","Bosch Rexroth":"FFFFFF","Danaher Industrial":"FFFFFF","Schmersal":"FFFFFF","Okuma":"FFFFFF","Balluff":"FFFFFF","Chint Electrics":"FFFFFF","Toshiba":"FFFFFF","Sick":"FFFFFF","IFM Electronics":"FFFFFF","Harting":"FFFFFF","Other":"FFFFFF"},</a:t>
          </a:r>
        </a:p>
        <a:p>
          <a:r>
            <a:rPr lang="en-US" sz="1100"/>
            <a:t>"shortTitleCols":{</a:t>
          </a:r>
        </a:p>
        <a:p>
          <a:r>
            <a:rPr lang="en-US" sz="1100"/>
            <a:t>"Turck":"Tur","Heidenhain":"Hei","M-System":"M-S","Hyosung Power and Industrial S":"Hyo","Yokogawa":"Yok","ABB":"ABB","Omron":"Omr","Hitachi":"Hit","Optex":"Opt","Metso Automation":"Met","Beckhoff":"Bec","Endress+Hauser":"End","Parker Industrial":"Par","Mitsubishi Electric":"Mit","Keyence":"Key","Sunx":"Sun","Wika":"Wik","Moore Industries":"Moo","Rockwell Automation":"Roc","Delta Electronics":"Del","Fuji Electric":"Fuj","Emerson Process Management":"Eme","Haas":"Haa","Festo":"Fes","Advantech":"Adv","Moog":"Moo","DKK-TOA Corporation":"DKK","Pentair":"Pen","Idec":"Ide","Danfoss":"Dan","Zebra Technologies":"Zeb","Cognex":"Cog","Baumer":"Bau","Hokuyo":"Hok","Phoenix Contact":"Pho","Emerson Electric":"Eme","Kontron":"Kon","Oriental Motor":"Ori","Lenze":"Len","Powell Industries":"Pow","Horiba Analytical":"Hor","Contec":"Con","Altus":"Alt","HIMA":"HIM","GSK CNC EQUIPMENT":"GSK","Leuze":"Leu","Pepperl+Fuchs":"Pep","Yaskawa":"Yas","Siemens":"Sie","SPX Valves &amp; Controls":"SPX","Weg":"Weg","Schneider Electric":"Sch","Euchner":"Euc","Tamagawa Seiki":"Tam","Nihon Koso":"Nih","National Instruments":"Nat","Smar":"Sma","Num":"Num","Wago":"Wag","Thermo Scientific":"The","Sanyo Denki":"San","Banner":"Ban","NEC":"NEC","Beijer Electronics":"Bei","Honeywell":"Hon","CCI":"CCI","GE":"GE","Fagor Automation":"Fag","PR Electronics":"PR ","Weidmuller":"Wei","Samson":"Sam","Eaton":"Eat","Teledyne":"Tel","Lti Drives":"Lti","Krohne":"Kro","Ametek":"Ame","Pilz":"Pil","Panasonic":"Pan","Comeca":"Com","TMEIC":"TME","Halma":"Hal","Flowserve Flow Control Division":"Flo","B&amp;R":"B&amp;R","EVOC Group":"EVO","Contrinex":"Con","Mettler-Toledo":"Met","Azbil":"Azb","FANUC":"FAN","Bosch Rexroth":"Bos","Danaher Industrial":"Dan","Schmersal":"Sch","Okuma":"Oku","Balluff":"Bal","Chint Electrics":"Chi","Toshiba":"Tos","Sick":"Sic","IFM Electronics":"IFM","Harting":"Har","Other":"Oth"},</a:t>
          </a:r>
        </a:p>
        <a:p>
          <a:r>
            <a:rPr lang="en-US" sz="1100"/>
            <a:t>"rows":[</a:t>
          </a:r>
        </a:p>
        <a:p>
          <a:r>
            <a:rPr lang="en-US" sz="1100"/>
            <a:t>{"title":"01- DCS",</a:t>
          </a:r>
        </a:p>
        <a:p>
          <a:r>
            <a:rPr lang="en-US" sz="1100"/>
            <a:t>"size":13521.0076579863,</a:t>
          </a:r>
        </a:p>
        <a:p>
          <a:r>
            <a:rPr lang="en-US" sz="1100"/>
            <a:t>"box":{"Top":70.5,"Left":14.25,"Width":139.0728,"Height":52.73606},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{"title":"Turck","size":15.5066475297911,"box":{"Top":70.5,"Left":388.1569,"Width":138.0194,"Height":52.73606}},</a:t>
          </a:r>
        </a:p>
        <a:p>
          <a:r>
            <a:rPr lang="en-US" sz="1100"/>
            <a:t>{"title":"Heidenhain","size":6.62725462233377,"box":{"Top":70.5,"Left":898.9805,"Width":58.98693,"Height":52.73606}},</a:t>
          </a:r>
        </a:p>
        <a:p>
          <a:r>
            <a:rPr lang="en-US" sz="1100"/>
            <a:t>{"title":"M-System","size":19.5783404669305,"box":{"Top":70.5,"Left":213.8967,"Width":174.2602,"Height":52.73606}},</a:t>
          </a:r>
        </a:p>
        <a:p>
          <a:r>
            <a:rPr lang="en-US" sz="1100"/>
            <a:t>{"title":"Hyosung Power and Industrial S","size":3.16178092439886,"box":{"Top":70.5,"Left":957.9675,"Width":28.14197,"Height":52.73606}},</a:t>
          </a:r>
        </a:p>
        <a:p>
          <a:r>
            <a:rPr lang="en-US" sz="1100"/>
            <a:t>{"title":"Omron","size":11.0746775527159,"box":{"Top":70.5,"Left":800.4087,"Width":98.57189,"Height":52.73606}},</a:t>
          </a:r>
        </a:p>
        <a:p>
          <a:r>
            <a:rPr lang="en-US" sz="1100"/>
            <a:t>{"title":"Optex","size":15.4926034724751,"box":{"Top":70.5,"Left":526.1763,"Width":137.8944,"Height":52.73606}},</a:t>
          </a:r>
        </a:p>
        <a:p>
          <a:r>
            <a:rPr lang="en-US" sz="1100"/>
            <a:t>{"title":"Wika","size":15.3177393490023,"box":{"Top":70.5,"Left":664.0707,"Width":136.338,"Height":52.73606}},</a:t>
          </a:r>
        </a:p>
        <a:p>
          <a:r>
            <a:rPr lang="en-US" sz="1100"/>
            <a:t>{"title":"Other","size":13.2409560823526,"box":{"Top":70.5,"Left":986.11497523419,"Width":117.853233078798,"Height":52.73606}}]</a:t>
          </a:r>
        </a:p>
        <a:p>
          <a:r>
            <a:rPr lang="en-US" sz="1100"/>
            <a:t>},</a:t>
          </a:r>
        </a:p>
        <a:p>
          <a:r>
            <a:rPr lang="en-US" sz="1100"/>
            <a:t>{"title":"03-2 PLC",</a:t>
          </a:r>
        </a:p>
        <a:p>
          <a:r>
            <a:rPr lang="en-US" sz="1100"/>
            <a:t>"size":12691.3622285877,</a:t>
          </a:r>
        </a:p>
        <a:p>
          <a:r>
            <a:rPr lang="en-US" sz="1100"/>
            <a:t>"box":{"Top":123.2361,"Left":14.25,"Width":139.0728,"Height":49.50024},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{"title":"Turck","size":27.4183738327249,"box":{"Top":123.2361,"Left":213.8967,"Width":244.0416,"Height":49.50024}},</a:t>
          </a:r>
        </a:p>
        <a:p>
          <a:r>
            <a:rPr lang="en-US" sz="1100"/>
            <a:t>{"title":"Heidenhain","size":8.21589197036625,"box":{"Top":123.2361,"Left":740.5673,"Width":73.12693,"Height":49.50024}},</a:t>
          </a:r>
        </a:p>
        <a:p>
          <a:r>
            <a:rPr lang="en-US" sz="1100"/>
            <a:t>{"title":"Hyosung Power and Industrial S","size":22.0016267152088,"box":{"Top":123.2361,"Left":457.9384,"Width":195.8289,"Height":49.50024}},</a:t>
          </a:r>
        </a:p>
        <a:p>
          <a:r>
            <a:rPr lang="en-US" sz="1100"/>
            <a:t>{"title":"Yokogawa","size":3.72222032215197,"box":{"Top":123.2361,"Left":855.732,"Width":33.13024,"Height":49.50024}},</a:t>
          </a:r>
        </a:p>
        <a:p>
          <a:r>
            <a:rPr lang="en-US" sz="1100"/>
            <a:t>{"title":"ABB","size":9.75210774476142,"box":{"Top":123.2361,"Left":653.7673,"Width":86.80008,"Height":49.50024}},</a:t>
          </a:r>
        </a:p>
        <a:p>
          <a:r>
            <a:rPr lang="en-US" sz="1100"/>
            <a:t>{"title":"Hitachi","size":4.72299764608661,"box":{"Top":123.2361,"Left":813.6943,"Width":42.03772,"Height":49.50024}},</a:t>
          </a:r>
        </a:p>
        <a:p>
          <a:r>
            <a:rPr lang="en-US" sz="1100"/>
            <a:t>{"title":"Metso Automation","size":3.13046758584641,"box":{"Top":123.2361,"Left":888.8622,"Width":27.86323,"Height":49.50024}},</a:t>
          </a:r>
        </a:p>
        <a:p>
          <a:r>
            <a:rPr lang="en-US" sz="1100"/>
            <a:t>{"title":"Other","size":21.0363141828537,"box":{"Top":123.2361,"Left":916.729975879483,"Width":187.237133800693,"Height":49.50024}}]</a:t>
          </a:r>
        </a:p>
        <a:p>
          <a:r>
            <a:rPr lang="en-US" sz="1100"/>
            <a:t>},</a:t>
          </a:r>
        </a:p>
        <a:p>
          <a:r>
            <a:rPr lang="en-US" sz="1100"/>
            <a:t>{"title":"04- C&amp;S + Safety",</a:t>
          </a:r>
        </a:p>
        <a:p>
          <a:r>
            <a:rPr lang="en-US" sz="1100"/>
            <a:t>"size":11505.79935835,</a:t>
          </a:r>
        </a:p>
        <a:p>
          <a:r>
            <a:rPr lang="en-US" sz="1100"/>
            <a:t>"box":{"Top":172.7363,"Left":14.25,"Width":139.0728,"Height":44.87614},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{"title":"Turck","size":6.42804279611262,"box":{"Top":172.7363,"Left":281.3414,"Width":57.21378,"Height":44.87614}},</a:t>
          </a:r>
        </a:p>
        <a:p>
          <a:r>
            <a:rPr lang="en-US" sz="1100"/>
            <a:t>{"title":"Heidenhain","size":4.56565706277553,"box":{"Top":172.7363,"Left":384.6465,"Width":40.6374,"Height":44.87614}},</a:t>
          </a:r>
        </a:p>
        <a:p>
          <a:r>
            <a:rPr lang="en-US" sz="1100"/>
            <a:t>{"title":"Hyosung Power and Industrial S","size":5.17842108953821,"box":{"Top":172.7363,"Left":338.5552,"Width":46.09126,"Height":44.87614}},</a:t>
          </a:r>
        </a:p>
        <a:p>
          <a:r>
            <a:rPr lang="en-US" sz="1100"/>
            <a:t>{"title":"Hitachi","size":7.57749796512216,"box":{"Top":172.7363,"Left":213.8967,"Width":67.44465,"Height":44.87614}},</a:t>
          </a:r>
        </a:p>
        <a:p>
          <a:r>
            <a:rPr lang="en-US" sz="1100"/>
            <a:t>{"title":"Other","size":76.2503810864515,"box":{"Top":172.7363,"Left":425.289326522401,"Width":678.678568985412,"Height":44.87614}}]</a:t>
          </a:r>
        </a:p>
        <a:p>
          <a:r>
            <a:rPr lang="en-US" sz="1100"/>
            <a:t>},</a:t>
          </a:r>
        </a:p>
        <a:p>
          <a:r>
            <a:rPr lang="en-US" sz="1100"/>
            <a:t>{"title":"02-2 Drives LV",</a:t>
          </a:r>
        </a:p>
        <a:p>
          <a:r>
            <a:rPr lang="en-US" sz="1100"/>
            <a:t>"size":10855.8402495674,</a:t>
          </a:r>
        </a:p>
        <a:p>
          <a:r>
            <a:rPr lang="en-US" sz="1100"/>
            <a:t>"box":{"Top":217.6124,"Left":14.25,"Width":139.0728,"Height":42.3411},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{"title":"Turck","size":12.0323646598092,"box":{"Top":217.6124,"Left":372.7256,"Width":107.0961,"Height":42.3411}},</a:t>
          </a:r>
        </a:p>
        <a:p>
          <a:r>
            <a:rPr lang="en-US" sz="1100"/>
            <a:t>{"title":"Heidenhain","size":5.31275457436981,"box":{"Top":217.6124,"Left":724.6743,"Width":47.28701,"Height":42.3411}},</a:t>
          </a:r>
        </a:p>
        <a:p>
          <a:r>
            <a:rPr lang="en-US" sz="1100"/>
            <a:t>{"title":"M-System","size":17.8446106984141,"box":{"Top":217.6124,"Left":213.8967,"Width":158.8289,"Height":42.3411}},</a:t>
          </a:r>
        </a:p>
        <a:p>
          <a:r>
            <a:rPr lang="en-US" sz="1100"/>
            <a:t>{"title":"Hyosung Power and Industrial S","size":10.2933309928065,"box":{"Top":217.6124,"Left":583.7962,"Width":91.6174,"Height":42.3411}},</a:t>
          </a:r>
        </a:p>
        <a:p>
          <a:r>
            <a:rPr lang="en-US" sz="1100"/>
            <a:t>{"title":"ABB","size":5.53448689879288,"box":{"Top":217.6124,"Left":675.4136,"Width":49.26063,"Height":42.3411}},</a:t>
          </a:r>
        </a:p>
        <a:p>
          <a:r>
            <a:rPr lang="en-US" sz="1100"/>
            <a:t>{"title":"Endress+Hauser","size":11.6816804758142,"box":{"Top":217.6124,"Left":479.8217,"Width":103.9746,"Height":42.3411}},</a:t>
          </a:r>
        </a:p>
        <a:p>
          <a:r>
            <a:rPr lang="en-US" sz="1100"/>
            <a:t>{"title":"Mitsubishi Electric","size":4.36641465886428,"box":{"Top":217.6124,"Left":771.9612,"Width":38.86386,"Height":42.3411}},</a:t>
          </a:r>
        </a:p>
        <a:p>
          <a:r>
            <a:rPr lang="en-US" sz="1100"/>
            <a:t>{"title":"Fuji Electric","size":3.10590403579387,"box":{"Top":217.6124,"Left":841.2916,"Width":27.64457,"Height":42.3411}},</a:t>
          </a:r>
        </a:p>
        <a:p>
          <a:r>
            <a:rPr lang="en-US" sz="1100"/>
            <a:t>{"title":"Advantech","size":3.42294026829505,"box":{"Top":217.6124,"Left":810.8251,"Width":30.46646,"Height":42.3411}},</a:t>
          </a:r>
        </a:p>
        <a:p>
          <a:r>
            <a:rPr lang="en-US" sz="1100"/>
            <a:t>{"title":"Other","size":26.4055127370401,"box":{"Top":217.6124,"Left":868.942468351407,"Width":235.026586824374,"Height":42.3411}}]</a:t>
          </a:r>
        </a:p>
        <a:p>
          <a:r>
            <a:rPr lang="en-US" sz="1100"/>
            <a:t>},</a:t>
          </a:r>
        </a:p>
        <a:p>
          <a:r>
            <a:rPr lang="en-US" sz="1100"/>
            <a:t>{"title":"02-1 Motor Starters &amp; Contactors",</a:t>
          </a:r>
        </a:p>
        <a:p>
          <a:r>
            <a:rPr lang="en-US" sz="1100"/>
            <a:t>"size":9626.01295823741,</a:t>
          </a:r>
        </a:p>
        <a:p>
          <a:r>
            <a:rPr lang="en-US" sz="1100"/>
            <a:t>"box":{"Top":259.9535,"Left":14.25,"Width":139.0728,"Height":37.54441},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{"title":"Turck","size":18.0013003048906,"box":{"Top":259.9535,"Left":375.4424,"Width":160.2234,"Height":37.54441}},</a:t>
          </a:r>
        </a:p>
        <a:p>
          <a:r>
            <a:rPr lang="en-US" sz="1100"/>
            <a:t>{"title":"Heidenhain","size":18.1498486359502,"box":{"Top":259.9535,"Left":213.8967,"Width":161.5456,"Height":37.54441}},</a:t>
          </a:r>
        </a:p>
        <a:p>
          <a:r>
            <a:rPr lang="en-US" sz="1100"/>
            <a:t>{"title":"M-System","size":14.1931478788511,"box":{"Top":259.9535,"Left":535.6656,"Width":126.3284,"Height":37.54441}},</a:t>
          </a:r>
        </a:p>
        <a:p>
          <a:r>
            <a:rPr lang="en-US" sz="1100"/>
            <a:t>{"title":"Hyosung Power and Industrial S","size":6.70260836754722,"box":{"Top":259.9535,"Left":749.9105,"Width":59.65756,"Height":37.54441}},</a:t>
          </a:r>
        </a:p>
        <a:p>
          <a:r>
            <a:rPr lang="en-US" sz="1100"/>
            <a:t>{"title":"ABB","size":4.31259130916086,"box":{"Top":259.9535,"Left":861.2711,"Width":38.38496,"Height":37.54441}},</a:t>
          </a:r>
        </a:p>
        <a:p>
          <a:r>
            <a:rPr lang="en-US" sz="1100"/>
            <a:t>{"title":"Metso Automation","size":5.80891156521347,"box":{"Top":259.9535,"Left":809.5681,"Width":51.70307,"Height":37.54441}},</a:t>
          </a:r>
        </a:p>
        <a:p>
          <a:r>
            <a:rPr lang="en-US" sz="1100"/>
            <a:t>{"title":"Parker Industrial","size":9.87751181517317,"box":{"Top":259.9535,"Left":661.9941,"Width":87.91637,"Height":37.54441}},</a:t>
          </a:r>
        </a:p>
        <a:p>
          <a:r>
            <a:rPr lang="en-US" sz="1100"/>
            <a:t>{"title":"Other","size":22.9540801232135,"box":{"Top":259.9535,"Left":899.663560142576,"Width":204.306448707522,"Height":37.54441}}]</a:t>
          </a:r>
        </a:p>
        <a:p>
          <a:r>
            <a:rPr lang="en-US" sz="1100"/>
            <a:t>},</a:t>
          </a:r>
        </a:p>
        <a:p>
          <a:r>
            <a:rPr lang="en-US" sz="1100"/>
            <a:t>{"title":"02-3 Motion",</a:t>
          </a:r>
        </a:p>
        <a:p>
          <a:r>
            <a:rPr lang="en-US" sz="1100"/>
            <a:t>"size":7144.0655628348,</a:t>
          </a:r>
        </a:p>
        <a:p>
          <a:r>
            <a:rPr lang="en-US" sz="1100"/>
            <a:t>"box":{"Top":297.4979,"Left":14.25,"Width":139.0728,"Height":27.86402},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{"title":"Turck","size":8.76769669162237,"box":{"Top":297.4979,"Left":379.0094,"Width":78.03827,"Height":27.86402}},</a:t>
          </a:r>
        </a:p>
        <a:p>
          <a:r>
            <a:rPr lang="en-US" sz="1100"/>
            <a:t>{"title":"Heidenhain","size":3.70691157941351,"box":{"Top":297.4979,"Left":669.575,"Width":32.99394,"Height":27.86402}},</a:t>
          </a:r>
        </a:p>
        <a:p>
          <a:r>
            <a:rPr lang="en-US" sz="1100"/>
            <a:t>{"title":"Hyosung Power and Industrial S","size":8.05003810423875,"box":{"Top":297.4979,"Left":457.0476,"Width":71.65071,"Height":27.86402}},</a:t>
          </a:r>
        </a:p>
        <a:p>
          <a:r>
            <a:rPr lang="en-US" sz="1100"/>
            <a:t>{"title":"ABB","size":9.6426141438623,"box":{"Top":297.4979,"Left":213.8967,"Width":85.82559,"Height":27.86402}},</a:t>
          </a:r>
        </a:p>
        <a:p>
          <a:r>
            <a:rPr lang="en-US" sz="1100"/>
            <a:t>{"title":"Mitsubishi Electric","size":8.90800815988579,"box":{"Top":297.4979,"Left":299.7223,"Width":79.28709,"Height":27.86402}},</a:t>
          </a:r>
        </a:p>
        <a:p>
          <a:r>
            <a:rPr lang="en-US" sz="1100"/>
            <a:t>{"title":"Delta Electronics","size":6.41091540904425,"box":{"Top":297.4979,"Left":528.6984,"Width":57.06134,"Height":27.86402}},</a:t>
          </a:r>
        </a:p>
        <a:p>
          <a:r>
            <a:rPr lang="en-US" sz="1100"/>
            <a:t>{"title":"Haas","size":5.21789724242232,"box":{"Top":297.4979,"Left":585.7597,"Width":46.44268,"Height":27.86402}},</a:t>
          </a:r>
        </a:p>
        <a:p>
          <a:r>
            <a:rPr lang="en-US" sz="1100"/>
            <a:t>{"title":"Zebra Technologies","size":4.19885461279303,"box":{"Top":297.4979,"Left":632.2024,"Width":37.37268,"Height":27.86402}},</a:t>
          </a:r>
        </a:p>
        <a:p>
          <a:r>
            <a:rPr lang="en-US" sz="1100"/>
            <a:t>{"title":"Baumer","size":3.33839673894851,"box":{"Top":297.4979,"Left":702.569,"Width":29.71402,"Height":27.86402}},</a:t>
          </a:r>
        </a:p>
        <a:p>
          <a:r>
            <a:rPr lang="en-US" sz="1100"/>
            <a:t>{"title":"Other","size":41.7586673177692,"box":{"Top":297.4979,"Left":732.291898389613,"Width":371.679674486363,"Height":27.86402}}]</a:t>
          </a:r>
        </a:p>
        <a:p>
          <a:r>
            <a:rPr lang="en-US" sz="1100"/>
            <a:t>},</a:t>
          </a:r>
        </a:p>
        <a:p>
          <a:r>
            <a:rPr lang="en-US" sz="1100"/>
            <a:t>{"title":"03-3 CNC",</a:t>
          </a:r>
        </a:p>
        <a:p>
          <a:r>
            <a:rPr lang="en-US" sz="1100"/>
            <a:t>"size":6406,</a:t>
          </a:r>
        </a:p>
        <a:p>
          <a:r>
            <a:rPr lang="en-US" sz="1100"/>
            <a:t>"box":{"Top":325.3619,"Left":14.25,"Width":139.0728,"Height":24.98535},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{"title":"Turck","size":32.8598189197627,"box":{"Top":325.3619,"Left":213.8967,"Width":292.4741,"Height":24.98535}},</a:t>
          </a:r>
        </a:p>
        <a:p>
          <a:r>
            <a:rPr lang="en-US" sz="1100"/>
            <a:t>{"title":"ABB","size":14.5020293474867,"box":{"Top":325.3619,"Left":767.7217,"Width":129.0776,"Height":24.98535}},</a:t>
          </a:r>
        </a:p>
        <a:p>
          <a:r>
            <a:rPr lang="en-US" sz="1100"/>
            <a:t>{"title":"Beckhoff","size":29.3630970964721,"box":{"Top":325.3619,"Left":506.3708,"Width":261.351,"Height":24.98535}},</a:t>
          </a:r>
        </a:p>
        <a:p>
          <a:r>
            <a:rPr lang="en-US" sz="1100"/>
            <a:t>{"title":"Rockwell Automation","size":3.2469559787699,"box":{"Top":325.3619,"Left":896.7994,"Width":28.90008,"Height":24.98535}},</a:t>
          </a:r>
        </a:p>
        <a:p>
          <a:r>
            <a:rPr lang="en-US" sz="1100"/>
            <a:t>{"title":"Yaskawa","size":3.21573524820481,"box":{"Top":325.3619,"Left":925.6995,"Width":28.62205,"Height":24.98535}},</a:t>
          </a:r>
        </a:p>
        <a:p>
          <a:r>
            <a:rPr lang="en-US" sz="1100"/>
            <a:t>{"title":"Other","size":16.8123634093038,"box":{"Top":325.3619,"Left":954.333707607287,"Width":149.641023838026,"Height":24.98535}}]</a:t>
          </a:r>
        </a:p>
        <a:p>
          <a:r>
            <a:rPr lang="en-US" sz="1100"/>
            <a:t>},</a:t>
          </a:r>
        </a:p>
        <a:p>
          <a:r>
            <a:rPr lang="en-US" sz="1100"/>
            <a:t>{"title":"01- Control Valves",</a:t>
          </a:r>
        </a:p>
        <a:p>
          <a:r>
            <a:rPr lang="en-US" sz="1100"/>
            <a:t>"size":6391.20415256226,</a:t>
          </a:r>
        </a:p>
        <a:p>
          <a:r>
            <a:rPr lang="en-US" sz="1100"/>
            <a:t>"box":{"Top":350.3472,"Left":14.25,"Width":139.0728,"Height":24.92764},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{"title":"Metso Automation","size":8.29264700905416,"box":{"Top":350.3472,"Left":523.0632,"Width":73.81008,"Height":24.92764}},</a:t>
          </a:r>
        </a:p>
        <a:p>
          <a:r>
            <a:rPr lang="en-US" sz="1100"/>
            <a:t>{"title":"Wika","size":25.3442068401244,"box":{"Top":350.3472,"Left":213.8967,"Width":225.5801,"Height":24.92764}},</a:t>
          </a:r>
        </a:p>
        <a:p>
          <a:r>
            <a:rPr lang="en-US" sz="1100"/>
            <a:t>{"title":"Emerson Process Management","size":9.39103157515907,"box":{"Top":350.3472,"Left":439.4768,"Width":83.58638,"Height":24.92764}},</a:t>
          </a:r>
        </a:p>
        <a:p>
          <a:r>
            <a:rPr lang="en-US" sz="1100"/>
            <a:t>{"title":"Hokuyo","size":6.43587640421556,"box":{"Top":350.3472,"Left":596.8733,"Width":57.28347,"Height":24.92764}},</a:t>
          </a:r>
        </a:p>
        <a:p>
          <a:r>
            <a:rPr lang="en-US" sz="1100"/>
            <a:t>{"title":"Emerson Electric","size":5.95263413464077,"box":{"Top":350.3472,"Left":654.1568,"Width":52.98228,"Height":24.92764}},</a:t>
          </a:r>
        </a:p>
        <a:p>
          <a:r>
            <a:rPr lang="en-US" sz="1100"/>
            <a:t>{"title":"Kontron","size":5.78920640254724,"box":{"Top":350.3472,"Left":707.139,"Width":51.52787,"Height":24.92764}},</a:t>
          </a:r>
        </a:p>
        <a:p>
          <a:r>
            <a:rPr lang="en-US" sz="1100"/>
            <a:t>{"title":"Horiba Analytical","size":5.11296450871456,"box":{"Top":350.3472,"Left":758.6669,"Width":45.50882,"Height":24.92764}},</a:t>
          </a:r>
        </a:p>
        <a:p>
          <a:r>
            <a:rPr lang="en-US" sz="1100"/>
            <a:t>{"title":"Other","size":33.6814331255442,"box":{"Top":350.3472,"Left":804.18730521649,"Width":299.786922688783,"Height":24.92764}}]</a:t>
          </a:r>
        </a:p>
        <a:p>
          <a:r>
            <a:rPr lang="en-US" sz="1100"/>
            <a:t>},</a:t>
          </a:r>
        </a:p>
        <a:p>
          <a:r>
            <a:rPr lang="en-US" sz="1100"/>
            <a:t>{"title":"04- Sensors",</a:t>
          </a:r>
        </a:p>
        <a:p>
          <a:r>
            <a:rPr lang="en-US" sz="1100"/>
            <a:t>"size":5959.25179609301,</a:t>
          </a:r>
        </a:p>
        <a:p>
          <a:r>
            <a:rPr lang="en-US" sz="1100"/>
            <a:t>"box":{"Top":375.2749,"Left":14.25,"Width":139.0728,"Height":23.24291},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{"title":"Hitachi","size":10.8341253435267,"box":{"Top":375.2749,"Left":213.8967,"Width":96.43079,"Height":23.24291}},</a:t>
          </a:r>
        </a:p>
        <a:p>
          <a:r>
            <a:rPr lang="en-US" sz="1100"/>
            <a:t>{"title":"Keyence","size":10.2312340686751,"box":{"Top":375.2749,"Left":310.3275,"Width":91.06473,"Height":23.24291}},</a:t>
          </a:r>
        </a:p>
        <a:p>
          <a:r>
            <a:rPr lang="en-US" sz="1100"/>
            <a:t>{"title":"Rockwell Automation","size":8.77626953677118,"box":{"Top":375.2749,"Left":401.3923,"Width":78.11457,"Height":23.24291}},</a:t>
          </a:r>
        </a:p>
        <a:p>
          <a:r>
            <a:rPr lang="en-US" sz="1100"/>
            <a:t>{"title":"Moog","size":6.52365258764328,"box":{"Top":375.2749,"Left":479.5068,"Width":58.06472,"Height":23.24291}},</a:t>
          </a:r>
        </a:p>
        <a:p>
          <a:r>
            <a:rPr lang="en-US" sz="1100"/>
            <a:t>{"title":"Danfoss","size":3.67903087672415,"box":{"Top":375.2749,"Left":573.6434,"Width":32.74575,"Height":23.24291}},</a:t>
          </a:r>
        </a:p>
        <a:p>
          <a:r>
            <a:rPr lang="en-US" sz="1100"/>
            <a:t>{"title":"Lenze","size":3.16070719017929,"box":{"Top":375.2749,"Left":638.8759,"Width":28.13244,"Height":23.24291}},</a:t>
          </a:r>
        </a:p>
        <a:p>
          <a:r>
            <a:rPr lang="en-US" sz="1100"/>
            <a:t>{"title":"HIMA","size":3.64992800174348,"box":{"Top":375.2749,"Left":606.3892,"Width":32.48685,"Height":23.24291}},</a:t>
          </a:r>
        </a:p>
        <a:p>
          <a:r>
            <a:rPr lang="en-US" sz="1100"/>
            <a:t>{"title":"GSK CNC EQUIPMENT","size":4.05271373427012,"box":{"Top":375.2749,"Left":537.5716,"Width":36.07181,"Height":23.24291}},</a:t>
          </a:r>
        </a:p>
        <a:p>
          <a:r>
            <a:rPr lang="en-US" sz="1100"/>
            <a:t>{"title":"Other","size":49.0923386604667,"box":{"Top":375.2749,"Left":667.018511541281,"Width":436.954266779031,"Height":23.24291}}]</a:t>
          </a:r>
        </a:p>
        <a:p>
          <a:r>
            <a:rPr lang="en-US" sz="1100"/>
            <a:t>},</a:t>
          </a:r>
        </a:p>
        <a:p>
          <a:r>
            <a:rPr lang="en-US" sz="1100"/>
            <a:t>{"title":"01- Instruments",</a:t>
          </a:r>
        </a:p>
        <a:p>
          <a:r>
            <a:rPr lang="en-US" sz="1100"/>
            <a:t>"size":5588.124369909,</a:t>
          </a:r>
        </a:p>
        <a:p>
          <a:r>
            <a:rPr lang="en-US" sz="1100"/>
            <a:t>"box":{"Top":398.5178,"Left":14.25,"Width":139.0728,"Height":21.79535},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{"title":"Turck","size":4.58045384637013,"box":{"Top":398.5178,"Left":893.0322,"Width":40.76898,"Height":21.79535}},</a:t>
          </a:r>
        </a:p>
        <a:p>
          <a:r>
            <a:rPr lang="en-US" sz="1100"/>
            <a:t>{"title":"M-System","size":6.50200274633323,"box":{"Top":398.5178,"Left":790.4666,"Width":57.8722,"Height":21.79535}},</a:t>
          </a:r>
        </a:p>
        <a:p>
          <a:r>
            <a:rPr lang="en-US" sz="1100"/>
            <a:t>{"title":"Omron","size":14.9969818945466,"box":{"Top":398.5178,"Left":539.4321,"Width":133.483,"Height":21.79535}},</a:t>
          </a:r>
        </a:p>
        <a:p>
          <a:r>
            <a:rPr lang="en-US" sz="1100"/>
            <a:t>{"title":"Sunx","size":13.2070473023642,"box":{"Top":398.5178,"Left":672.9151,"Width":117.5514,"Height":21.79535}},</a:t>
          </a:r>
        </a:p>
        <a:p>
          <a:r>
            <a:rPr lang="en-US" sz="1100"/>
            <a:t>{"title":"Wika","size":36.57429335334,"box":{"Top":398.5178,"Left":213.8967,"Width":325.5353,"Height":21.79535}},</a:t>
          </a:r>
        </a:p>
        <a:p>
          <a:r>
            <a:rPr lang="en-US" sz="1100"/>
            <a:t>{"title":"Contec","size":5.02136282991442,"box":{"Top":398.5178,"Left":848.3387,"Width":44.69347,"Height":21.79535}},</a:t>
          </a:r>
        </a:p>
        <a:p>
          <a:r>
            <a:rPr lang="en-US" sz="1100"/>
            <a:t>{"title":"Other","size":19.1178580271314,"box":{"Top":398.5178,"Left":933.813765854014,"Width":170.161476760732,"Height":21.79535}}]</a:t>
          </a:r>
        </a:p>
        <a:p>
          <a:r>
            <a:rPr lang="en-US" sz="1100"/>
            <a:t>},</a:t>
          </a:r>
        </a:p>
        <a:p>
          <a:r>
            <a:rPr lang="en-US" sz="1100"/>
            <a:t>{"title":"03-1 OP &amp; IPC",</a:t>
          </a:r>
        </a:p>
        <a:p>
          <a:r>
            <a:rPr lang="en-US" sz="1100"/>
            <a:t>"size":4487.52458389885,</a:t>
          </a:r>
        </a:p>
        <a:p>
          <a:r>
            <a:rPr lang="en-US" sz="1100"/>
            <a:t>"box":{"Top":420.3132,"Left":14.25,"Width":139.0728,"Height":17.50268},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{"title":"Turck","size":16.971383348686,"box":{"Top":420.3132,"Left":213.8967,"Width":151.0565,"Height":17.50268}},</a:t>
          </a:r>
        </a:p>
        <a:p>
          <a:r>
            <a:rPr lang="en-US" sz="1100"/>
            <a:t>{"title":"Heidenhain","size":7.0276015324896,"box":{"Top":420.3132,"Left":451.3103,"Width":62.55032,"Height":17.50268}},</a:t>
          </a:r>
        </a:p>
        <a:p>
          <a:r>
            <a:rPr lang="en-US" sz="1100"/>
            <a:t>{"title":"Hyosung Power and Industrial S","size":6.8316491278249,"box":{"Top":420.3132,"Left":513.8607,"Width":60.80614,"Height":17.50268}},</a:t>
          </a:r>
        </a:p>
        <a:p>
          <a:r>
            <a:rPr lang="en-US" sz="1100"/>
            <a:t>{"title":"Yokogawa","size":4.9503462578779,"box":{"Top":420.3132,"Left":574.6667,"Width":44.06134,"Height":17.50268}},</a:t>
          </a:r>
        </a:p>
        <a:p>
          <a:r>
            <a:rPr lang="en-US" sz="1100"/>
            <a:t>{"title":"ABB","size":4.87014018586768,"box":{"Top":420.3132,"Left":618.7282,"Width":43.34748,"Height":17.50268}},</a:t>
          </a:r>
        </a:p>
        <a:p>
          <a:r>
            <a:rPr lang="en-US" sz="1100"/>
            <a:t>{"title":"Idec","size":9.70232267934062,"box":{"Top":420.3132,"Left":364.9533,"Width":86.35701,"Height":17.50268}},</a:t>
          </a:r>
        </a:p>
        <a:p>
          <a:r>
            <a:rPr lang="en-US" sz="1100"/>
            <a:t>{"title":"Oriental Motor","size":4.05889183052714,"box":{"Top":420.3132,"Left":662.0757,"Width":36.12693,"Height":17.50268}},</a:t>
          </a:r>
        </a:p>
        <a:p>
          <a:r>
            <a:rPr lang="en-US" sz="1100"/>
            <a:t>{"title":"Other","size":45.5876650373862,"box":{"Top":420.3132,"Left":698.215938830002,"Width":405.76027271785,"Height":17.50268}}]</a:t>
          </a:r>
        </a:p>
        <a:p>
          <a:r>
            <a:rPr lang="en-US" sz="1100"/>
            <a:t>},</a:t>
          </a:r>
        </a:p>
        <a:p>
          <a:r>
            <a:rPr lang="en-US" sz="1100"/>
            <a:t>{"title":"01- Analyzers",</a:t>
          </a:r>
        </a:p>
        <a:p>
          <a:r>
            <a:rPr lang="en-US" sz="1100"/>
            <a:t>"size":3742.42356028276,</a:t>
          </a:r>
        </a:p>
        <a:p>
          <a:r>
            <a:rPr lang="en-US" sz="1100"/>
            <a:t>"box":{"Top":437.8159,"Left":14.25,"Width":139.0728,"Height":14.59661},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{"title":"M-System","size":3.36512168793054,"box":{"Top":437.8159,"Left":449.1903,"Width":29.95173,"Height":14.59661}},</a:t>
          </a:r>
        </a:p>
        <a:p>
          <a:r>
            <a:rPr lang="en-US" sz="1100"/>
            <a:t>{"title":"Omron","size":4.52633668112217,"box":{"Top":437.8159,"Left":266.1363,"Width":40.28732,"Height":14.59661}},</a:t>
          </a:r>
        </a:p>
        <a:p>
          <a:r>
            <a:rPr lang="en-US" sz="1100"/>
            <a:t>{"title":"Sunx","size":5.86917161865628,"box":{"Top":437.8159,"Left":213.8967,"Width":52.2396,"Height":14.59661}},</a:t>
          </a:r>
        </a:p>
        <a:p>
          <a:r>
            <a:rPr lang="en-US" sz="1100"/>
            <a:t>{"title":"Wika","size":4.36122515963429,"box":{"Top":437.8159,"Left":345.4091,"Width":38.81771,"Height":14.59661}},</a:t>
          </a:r>
        </a:p>
        <a:p>
          <a:r>
            <a:rPr lang="en-US" sz="1100"/>
            <a:t>{"title":"Zebra Technologies","size":3.44348684440154,"box":{"Top":437.8159,"Left":418.541,"Width":30.64929,"Height":14.59661}},</a:t>
          </a:r>
        </a:p>
        <a:p>
          <a:r>
            <a:rPr lang="en-US" sz="1100"/>
            <a:t>{"title":"Phoenix Contact","size":4.38005579431567,"box":{"Top":437.8159,"Left":306.4237,"Width":38.98536,"Height":14.59661}},</a:t>
          </a:r>
        </a:p>
        <a:p>
          <a:r>
            <a:rPr lang="en-US" sz="1100"/>
            <a:t>{"title":"Thermo Scientific","size":3.8552464112079,"box":{"Top":437.8159,"Left":384.2268,"Width":34.31425,"Height":14.59661}},</a:t>
          </a:r>
        </a:p>
        <a:p>
          <a:r>
            <a:rPr lang="en-US" sz="1100"/>
            <a:t>{"title":"Other","size":70.1993558027316,"box":{"Top":437.8159,"Left":479.161744551214,"Width":624.820555253474,"Height":14.59661}}]</a:t>
          </a:r>
        </a:p>
        <a:p>
          <a:r>
            <a:rPr lang="en-US" sz="1100"/>
            <a:t>},</a:t>
          </a:r>
        </a:p>
        <a:p>
          <a:r>
            <a:rPr lang="en-US" sz="1100"/>
            <a:t>{"title":"02-2 Drives MV",</a:t>
          </a:r>
        </a:p>
        <a:p>
          <a:r>
            <a:rPr lang="en-US" sz="1100"/>
            <a:t>"size":2838.45627148598,</a:t>
          </a:r>
        </a:p>
        <a:p>
          <a:r>
            <a:rPr lang="en-US" sz="1100"/>
            <a:t>"box":{"Top":452.4125,"Left":14.25,"Width":139.0728,"Height":11.07087},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{"title":"Turck","size":10.5818159961639,"box":{"Top":452.4125,"Left":718.9801,"Width":94.1852,"Height":11.07087}},</a:t>
          </a:r>
        </a:p>
        <a:p>
          <a:r>
            <a:rPr lang="en-US" sz="1100"/>
            <a:t>{"title":"Heidenhain","size":4.90460683032294,"box":{"Top":452.4125,"Left":935.2704,"Width":43.65433,"Height":11.07087}},</a:t>
          </a:r>
        </a:p>
        <a:p>
          <a:r>
            <a:rPr lang="en-US" sz="1100"/>
            <a:t>{"title":"M-System","size":19.3466190034156,"box":{"Top":452.4125,"Left":432.6067,"Width":172.1976,"Height":11.07087}},</a:t>
          </a:r>
        </a:p>
        <a:p>
          <a:r>
            <a:rPr lang="en-US" sz="1100"/>
            <a:t>{"title":"Hyosung Power and Industrial S","size":12.8278095342386,"box":{"Top":452.4125,"Left":604.8043,"Width":114.1759,"Height":11.07087}},</a:t>
          </a:r>
        </a:p>
        <a:p>
          <a:r>
            <a:rPr lang="en-US" sz="1100"/>
            <a:t>{"title":"Metso Automation","size":24.5723412585435,"box":{"Top":452.4125,"Left":213.8967,"Width":218.7099,"Height":11.07087}},</a:t>
          </a:r>
        </a:p>
        <a:p>
          <a:r>
            <a:rPr lang="en-US" sz="1100"/>
            <a:t>{"title":"Moore Industries","size":6.30282741352014,"box":{"Top":452.4125,"Left":879.1712,"Width":56.09929,"Height":11.07087}},</a:t>
          </a:r>
        </a:p>
        <a:p>
          <a:r>
            <a:rPr lang="en-US" sz="1100"/>
            <a:t>{"title":"Leuze","size":7.41583959661913,"box":{"Top":452.4125,"Left":813.1653,"Width":66.00583,"Height":11.07087}},</a:t>
          </a:r>
        </a:p>
        <a:p>
          <a:r>
            <a:rPr lang="en-US" sz="1100"/>
            <a:t>{"title":"Other","size":14.0481403671762,"box":{"Top":452.4125,"Left":978.950915695813,"Width":125.037628768298,"Height":11.07087}}]</a:t>
          </a:r>
        </a:p>
        <a:p>
          <a:r>
            <a:rPr lang="en-US" sz="1100"/>
            <a:t>},</a:t>
          </a:r>
        </a:p>
        <a:p>
          <a:r>
            <a:rPr lang="en-US" sz="1100"/>
            <a:t>{"title":"01- Safety Systems",</a:t>
          </a:r>
        </a:p>
        <a:p>
          <a:r>
            <a:rPr lang="en-US" sz="1100"/>
            <a:t>"size":2371.70232082347,</a:t>
          </a:r>
        </a:p>
        <a:p>
          <a:r>
            <a:rPr lang="en-US" sz="1100"/>
            <a:t>"box":{"Top":463.4834,"Left":14.25,"Width":139.0728,"Height":9.250394},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{"title":"Turck","size":6.07580465452205,"box":{"Top":463.4834,"Left":855.7753,"Width":54.07874,"Height":9.250394}},</a:t>
          </a:r>
        </a:p>
        <a:p>
          <a:r>
            <a:rPr lang="en-US" sz="1100"/>
            <a:t>{"title":"Heidenhain","size":18.3081154910384,"box":{"Top":463.4834,"Left":213.8967,"Width":162.9543,"Height":9.250394}},</a:t>
          </a:r>
        </a:p>
        <a:p>
          <a:r>
            <a:rPr lang="en-US" sz="1100"/>
            <a:t>{"title":"M-System","size":8.82109015803301,"box":{"Top":463.4834,"Left":720.0323,"Width":78.51347,"Height":9.250394}},</a:t>
          </a:r>
        </a:p>
        <a:p>
          <a:r>
            <a:rPr lang="en-US" sz="1100"/>
            <a:t>{"title":"Hyosung Power and Industrial S","size":9.32888527363579,"box":{"Top":463.4834,"Left":636.9991,"Width":83.03331,"Height":9.250394}},</a:t>
          </a:r>
        </a:p>
        <a:p>
          <a:r>
            <a:rPr lang="en-US" sz="1100"/>
            <a:t>{"title":"Omron","size":18.0671914952304,"box":{"Top":463.4834,"Left":376.851,"Width":160.8099,"Height":9.250394}},</a:t>
          </a:r>
        </a:p>
        <a:p>
          <a:r>
            <a:rPr lang="en-US" sz="1100"/>
            <a:t>{"title":"Optex","size":11.1607598338098,"box":{"Top":463.4834,"Left":537.6609,"Width":99.33811,"Height":9.250394}},</a:t>
          </a:r>
        </a:p>
        <a:p>
          <a:r>
            <a:rPr lang="en-US" sz="1100"/>
            <a:t>{"title":"Wika","size":6.42980613303725,"box":{"Top":463.4834,"Left":798.5458,"Width":57.22953,"Height":9.250394}},</a:t>
          </a:r>
        </a:p>
        <a:p>
          <a:r>
            <a:rPr lang="en-US" sz="1100"/>
            <a:t>{"title":"Num","size":5.59808871603672,"box":{"Top":463.4834,"Left":909.8541,"Width":49.82677,"Height":9.250394}},</a:t>
          </a:r>
        </a:p>
        <a:p>
          <a:r>
            <a:rPr lang="en-US" sz="1100"/>
            <a:t>{"title":"Other","size":16.2102582446566,"box":{"Top":463.4834,"Left":959.714070489183,"Width":144.281962225661,"Height":9.250394}}]</a:t>
          </a:r>
        </a:p>
        <a:p>
          <a:r>
            <a:rPr lang="en-US" sz="1100"/>
            <a:t>},</a:t>
          </a:r>
        </a:p>
        <a:p>
          <a:r>
            <a:rPr lang="en-US" sz="1100"/>
            <a:t>{"title":"03-3 Vision",</a:t>
          </a:r>
        </a:p>
        <a:p>
          <a:r>
            <a:rPr lang="en-US" sz="1100"/>
            <a:t>"size":1863,</a:t>
          </a:r>
        </a:p>
        <a:p>
          <a:r>
            <a:rPr lang="en-US" sz="1100"/>
            <a:t>"box":{"Top":472.7337,"Left":14.25,"Width":139.0728,"Height":7.266299},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{"title":"Hitachi","size":4.40150295222759,"box":{"Top":472.7337,"Left":533.5178,"Width":39.1763,"Height":7.266299}},</a:t>
          </a:r>
        </a:p>
        <a:p>
          <a:r>
            <a:rPr lang="en-US" sz="1100"/>
            <a:t>{"title":"Keyence","size":5.63607085346216,"box":{"Top":472.7337,"Left":483.3531,"Width":50.16473,"Height":7.266299}},</a:t>
          </a:r>
        </a:p>
        <a:p>
          <a:r>
            <a:rPr lang="en-US" sz="1100"/>
            <a:t>{"title":"Pentair","size":24.369296833065,"box":{"Top":472.7337,"Left":213.8967,"Width":216.9028,"Height":7.266299}},</a:t>
          </a:r>
        </a:p>
        <a:p>
          <a:r>
            <a:rPr lang="en-US" sz="1100"/>
            <a:t>{"title":"Phoenix Contact","size":3.22061191626409,"box":{"Top":472.7337,"Left":645.3135,"Width":28.66551,"Height":7.266299}},</a:t>
          </a:r>
        </a:p>
        <a:p>
          <a:r>
            <a:rPr lang="en-US" sz="1100"/>
            <a:t>{"title":"Lenze","size":5.9044551798175,"box":{"Top":472.7337,"Left":430.7994,"Width":52.55362,"Height":7.266299}},</a:t>
          </a:r>
        </a:p>
        <a:p>
          <a:r>
            <a:rPr lang="en-US" sz="1100"/>
            <a:t>{"title":"Weg","size":3.97208803005904,"box":{"Top":472.7337,"Left":609.9593,"Width":35.35425,"Height":7.266299}},</a:t>
          </a:r>
        </a:p>
        <a:p>
          <a:r>
            <a:rPr lang="en-US" sz="1100"/>
            <a:t>{"title":"Lti Drives","size":4.18679549114332,"box":{"Top":472.7337,"Left":572.6941,"Width":37.2652,"Height":7.266299}},</a:t>
          </a:r>
        </a:p>
        <a:p>
          <a:r>
            <a:rPr lang="en-US" sz="1100"/>
            <a:t>{"title":"Other","size":48.3091787439614,"box":{"Top":472.7337,"Left":674.016349214324,"Width":429.983620268098,"Height":7.266299}}]</a:t>
          </a:r>
        </a:p>
        <a:p>
          <a:r>
            <a:rPr lang="en-US" sz="1100"/>
            <a:t>}</a:t>
          </a:r>
        </a:p>
        <a:p>
          <a:r>
            <a:rPr lang="en-US" sz="1100"/>
            <a:t>]</a:t>
          </a:r>
        </a:p>
        <a:p>
          <a:r>
            <a:rPr lang="en-US" sz="1100"/>
            <a:t>}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vert="horz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5:L11"/>
  <sheetViews>
    <sheetView tabSelected="1" zoomScale="70" zoomScaleNormal="70" workbookViewId="0">
      <selection activeCell="D18" sqref="D18"/>
    </sheetView>
  </sheetViews>
  <sheetFormatPr baseColWidth="10" defaultColWidth="11.44140625" defaultRowHeight="14.4" x14ac:dyDescent="0.3"/>
  <cols>
    <col min="1" max="1" width="10.6640625" bestFit="1" customWidth="1"/>
    <col min="2" max="2" width="26.44140625" bestFit="1" customWidth="1"/>
    <col min="3" max="3" width="21.6640625" bestFit="1" customWidth="1"/>
    <col min="4" max="4" width="19.109375" bestFit="1" customWidth="1"/>
    <col min="5" max="5" width="16.6640625" bestFit="1" customWidth="1"/>
    <col min="6" max="6" width="22.88671875" bestFit="1" customWidth="1"/>
    <col min="7" max="7" width="32.33203125" customWidth="1"/>
    <col min="8" max="8" width="19.44140625" bestFit="1" customWidth="1"/>
    <col min="9" max="9" width="20.5546875" bestFit="1" customWidth="1"/>
    <col min="10" max="10" width="19" bestFit="1" customWidth="1"/>
    <col min="11" max="11" width="17.5546875" bestFit="1" customWidth="1"/>
  </cols>
  <sheetData>
    <row r="5" spans="1:12" x14ac:dyDescent="0.3">
      <c r="A5" s="1" t="s">
        <v>108</v>
      </c>
      <c r="B5" s="2" t="s">
        <v>109</v>
      </c>
      <c r="C5" s="1" t="s">
        <v>110</v>
      </c>
      <c r="D5" s="1" t="s">
        <v>111</v>
      </c>
      <c r="E5" s="1" t="s">
        <v>112</v>
      </c>
      <c r="F5" s="1" t="s">
        <v>113</v>
      </c>
      <c r="G5" s="1" t="s">
        <v>114</v>
      </c>
      <c r="H5" s="1" t="s">
        <v>130</v>
      </c>
      <c r="I5" s="1" t="s">
        <v>131</v>
      </c>
      <c r="J5" t="s">
        <v>146</v>
      </c>
      <c r="K5" t="s">
        <v>145</v>
      </c>
      <c r="L5" t="s">
        <v>160</v>
      </c>
    </row>
    <row r="6" spans="1:12" x14ac:dyDescent="0.3">
      <c r="A6" s="1">
        <v>1</v>
      </c>
      <c r="B6" s="2" t="s">
        <v>158</v>
      </c>
      <c r="C6" s="1" t="s">
        <v>133</v>
      </c>
      <c r="D6" s="1" t="s">
        <v>123</v>
      </c>
      <c r="E6" s="1" t="s">
        <v>144</v>
      </c>
      <c r="F6" s="3">
        <v>42791.813263888886</v>
      </c>
      <c r="G6" s="1" t="s">
        <v>115</v>
      </c>
      <c r="H6" s="2" t="s">
        <v>157</v>
      </c>
      <c r="I6" t="s">
        <v>132</v>
      </c>
      <c r="J6" s="1" t="s">
        <v>148</v>
      </c>
      <c r="K6" s="1" t="s">
        <v>149</v>
      </c>
      <c r="L6" t="s">
        <v>163</v>
      </c>
    </row>
    <row r="7" spans="1:12" x14ac:dyDescent="0.3">
      <c r="A7" s="1"/>
      <c r="B7" s="2"/>
      <c r="C7" s="1"/>
      <c r="D7" s="1"/>
      <c r="E7" s="1"/>
      <c r="F7" s="3"/>
      <c r="G7" s="1"/>
    </row>
    <row r="8" spans="1:12" x14ac:dyDescent="0.3">
      <c r="A8" s="1"/>
      <c r="B8" s="2"/>
      <c r="C8" s="1"/>
      <c r="D8" s="1"/>
      <c r="E8" s="1"/>
      <c r="F8" s="3"/>
      <c r="G8" s="1"/>
    </row>
    <row r="9" spans="1:12" x14ac:dyDescent="0.3">
      <c r="A9" s="1"/>
      <c r="B9" s="2"/>
      <c r="C9" s="1"/>
      <c r="D9" s="1"/>
      <c r="E9" s="1"/>
      <c r="F9" s="3"/>
      <c r="G9" s="1"/>
    </row>
    <row r="10" spans="1:12" x14ac:dyDescent="0.3">
      <c r="A10" s="1"/>
      <c r="B10" s="2"/>
      <c r="C10" s="1"/>
      <c r="D10" s="1"/>
      <c r="E10" s="1"/>
      <c r="F10" s="3"/>
      <c r="G10" s="1"/>
    </row>
    <row r="11" spans="1:12" x14ac:dyDescent="0.3">
      <c r="A11" s="1"/>
      <c r="B11" s="2"/>
      <c r="C11" s="1"/>
      <c r="D11" s="1"/>
      <c r="E11" s="1"/>
      <c r="F11" s="3"/>
      <c r="G11" s="1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Update">
          <controlPr defaultSize="0" autoLine="0" r:id="rId5">
            <anchor moveWithCells="1">
              <from>
                <xdr:col>0</xdr:col>
                <xdr:colOff>76200</xdr:colOff>
                <xdr:row>0</xdr:row>
                <xdr:rowOff>38100</xdr:rowOff>
              </from>
              <to>
                <xdr:col>1</xdr:col>
                <xdr:colOff>876300</xdr:colOff>
                <xdr:row>3</xdr:row>
                <xdr:rowOff>7620</xdr:rowOff>
              </to>
            </anchor>
          </controlPr>
        </control>
      </mc:Choice>
      <mc:Fallback>
        <control shapeId="10241" r:id="rId4" name="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249977111117893"/>
    <pageSetUpPr fitToPage="1"/>
  </sheetPr>
  <dimension ref="B2:Q30"/>
  <sheetViews>
    <sheetView showGridLines="0" topLeftCell="A25" zoomScale="80" zoomScaleNormal="80" workbookViewId="0">
      <selection activeCell="B2" sqref="B2"/>
    </sheetView>
  </sheetViews>
  <sheetFormatPr baseColWidth="10" defaultColWidth="10.6640625" defaultRowHeight="15" customHeight="1" x14ac:dyDescent="0.3"/>
  <cols>
    <col min="1" max="1" width="2.6640625" style="1" customWidth="1"/>
    <col min="2" max="2" width="10.6640625" style="1" customWidth="1"/>
    <col min="3" max="3" width="15.6640625" style="1" customWidth="1"/>
    <col min="4" max="4" width="9.109375" style="1" customWidth="1"/>
    <col min="5" max="5" width="13.44140625" style="1" customWidth="1"/>
    <col min="6" max="11" width="15.6640625" style="1" customWidth="1"/>
    <col min="12" max="16384" width="10.6640625" style="1"/>
  </cols>
  <sheetData>
    <row r="2" spans="2:17" s="2" customFormat="1" ht="30" customHeight="1" thickBot="1" x14ac:dyDescent="0.35">
      <c r="B2" s="4" t="str">
        <f>"Top Players (&gt;="&amp;Colors!A1*100&amp;"%MS) ranking for Automation Markets "&amp;ROUND('Filter C-P'!S104/1000,)&amp;" "&amp;Colors!B1&amp;Colors!C1</f>
        <v>Top Players (&gt;=3%MS) ranking for Automation Markets 105 $Bn</v>
      </c>
      <c r="C2" s="5"/>
      <c r="D2" s="5"/>
      <c r="E2" s="5"/>
      <c r="F2" s="5"/>
      <c r="G2" s="5"/>
      <c r="H2" s="5"/>
      <c r="I2" s="5"/>
      <c r="J2" s="5"/>
      <c r="K2" s="6"/>
      <c r="L2" s="6"/>
      <c r="M2" s="7"/>
      <c r="N2" s="7"/>
      <c r="O2" s="7"/>
      <c r="P2" s="7"/>
      <c r="Q2" s="7" t="s">
        <v>116</v>
      </c>
    </row>
    <row r="4" spans="2:17" ht="35.1" customHeight="1" x14ac:dyDescent="0.3">
      <c r="B4" s="8"/>
      <c r="C4" s="8"/>
      <c r="D4" s="8"/>
      <c r="E4" s="8"/>
      <c r="F4" s="8"/>
      <c r="G4" s="8"/>
      <c r="H4" s="8"/>
      <c r="I4" s="8"/>
      <c r="J4" s="8"/>
      <c r="K4" s="8"/>
    </row>
    <row r="5" spans="2:17" ht="15" customHeight="1" x14ac:dyDescent="0.3">
      <c r="B5" s="8"/>
      <c r="C5" s="8"/>
      <c r="D5" s="8"/>
      <c r="E5" s="8"/>
      <c r="F5" s="8"/>
      <c r="G5" s="8"/>
      <c r="H5" s="8"/>
      <c r="I5" s="8"/>
      <c r="J5" s="8"/>
      <c r="K5" s="8"/>
    </row>
    <row r="6" spans="2:17" ht="15" customHeight="1" x14ac:dyDescent="0.3">
      <c r="B6" s="8"/>
      <c r="C6" s="8"/>
      <c r="D6" s="8"/>
      <c r="E6" s="8"/>
      <c r="F6" s="8"/>
      <c r="G6" s="8"/>
      <c r="H6" s="8"/>
      <c r="I6" s="8"/>
      <c r="J6" s="8"/>
      <c r="K6" s="8"/>
    </row>
    <row r="7" spans="2:17" ht="15" customHeight="1" x14ac:dyDescent="0.3">
      <c r="B7" s="8"/>
      <c r="C7" s="8"/>
      <c r="D7" s="8"/>
      <c r="E7" s="8"/>
      <c r="F7" s="8"/>
      <c r="G7" s="8"/>
      <c r="H7" s="8"/>
      <c r="I7" s="8"/>
      <c r="J7" s="8"/>
      <c r="K7" s="8"/>
    </row>
    <row r="8" spans="2:17" ht="15" customHeight="1" x14ac:dyDescent="0.3">
      <c r="B8" s="8"/>
      <c r="C8" s="8"/>
      <c r="D8" s="8"/>
      <c r="E8" s="8"/>
      <c r="F8" s="8"/>
      <c r="G8" s="8"/>
      <c r="H8" s="8"/>
      <c r="I8" s="8"/>
      <c r="J8" s="8"/>
      <c r="K8" s="8"/>
    </row>
    <row r="9" spans="2:17" ht="15" customHeight="1" x14ac:dyDescent="0.3">
      <c r="B9" s="8"/>
      <c r="C9" s="8"/>
      <c r="D9" s="8"/>
      <c r="E9" s="8"/>
      <c r="F9" s="8"/>
      <c r="G9" s="8"/>
      <c r="H9" s="8"/>
      <c r="I9" s="8"/>
      <c r="J9" s="8"/>
      <c r="K9" s="8"/>
    </row>
    <row r="10" spans="2:17" ht="15" customHeight="1" x14ac:dyDescent="0.3">
      <c r="B10" s="8"/>
      <c r="C10" s="8"/>
      <c r="D10" s="8"/>
      <c r="E10" s="8"/>
      <c r="F10" s="8"/>
      <c r="G10" s="8"/>
      <c r="H10" s="8"/>
      <c r="I10" s="8"/>
      <c r="J10" s="8"/>
      <c r="K10" s="8"/>
    </row>
    <row r="11" spans="2:17" ht="15" customHeight="1" x14ac:dyDescent="0.3">
      <c r="B11" s="8"/>
      <c r="C11" s="8"/>
      <c r="D11" s="8"/>
      <c r="E11" s="8"/>
      <c r="F11" s="8"/>
      <c r="G11" s="8"/>
      <c r="H11" s="8"/>
      <c r="I11" s="8"/>
      <c r="J11" s="8"/>
      <c r="K11" s="8"/>
    </row>
    <row r="12" spans="2:17" ht="15" customHeight="1" x14ac:dyDescent="0.3">
      <c r="B12" s="8"/>
      <c r="C12" s="8"/>
      <c r="D12" s="8"/>
      <c r="E12" s="8"/>
      <c r="F12" s="8"/>
      <c r="G12" s="8"/>
      <c r="H12" s="8"/>
      <c r="I12" s="8"/>
      <c r="J12" s="8"/>
      <c r="K12" s="8"/>
    </row>
    <row r="13" spans="2:17" ht="15" customHeigh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</row>
    <row r="14" spans="2:17" ht="15" customHeight="1" x14ac:dyDescent="0.3"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2:17" ht="15" customHeight="1" x14ac:dyDescent="0.3">
      <c r="B15" s="8"/>
      <c r="C15" s="8"/>
      <c r="D15" s="8"/>
      <c r="E15" s="8"/>
      <c r="F15" s="8"/>
      <c r="G15" s="8"/>
      <c r="H15" s="8"/>
      <c r="I15" s="8"/>
      <c r="J15" s="8"/>
      <c r="K15" s="8"/>
    </row>
    <row r="16" spans="2:17" ht="15" customHeight="1" x14ac:dyDescent="0.3">
      <c r="B16" s="8"/>
      <c r="C16" s="8"/>
      <c r="D16" s="8"/>
      <c r="E16" s="8"/>
      <c r="F16" s="8"/>
      <c r="G16" s="8"/>
      <c r="H16" s="8"/>
      <c r="I16" s="8"/>
      <c r="J16" s="8"/>
      <c r="K16" s="8"/>
    </row>
    <row r="17" spans="2:11" ht="15" customHeight="1" x14ac:dyDescent="0.3"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2:11" ht="15" customHeight="1" x14ac:dyDescent="0.3">
      <c r="B18" s="8"/>
      <c r="C18" s="8"/>
      <c r="D18" s="8"/>
      <c r="E18" s="8"/>
      <c r="F18" s="8"/>
      <c r="G18" s="8"/>
      <c r="H18" s="8"/>
      <c r="I18" s="8"/>
      <c r="J18" s="8"/>
      <c r="K18" s="8"/>
    </row>
    <row r="19" spans="2:11" ht="15" customHeight="1" x14ac:dyDescent="0.3">
      <c r="B19" s="8"/>
      <c r="C19" s="8"/>
      <c r="D19" s="8"/>
      <c r="E19" s="8"/>
      <c r="F19" s="8"/>
      <c r="G19" s="8"/>
      <c r="H19" s="8"/>
      <c r="I19" s="8"/>
      <c r="J19" s="8"/>
      <c r="K19" s="8"/>
    </row>
    <row r="20" spans="2:11" ht="15" customHeight="1" x14ac:dyDescent="0.3"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2:11" ht="15" customHeight="1" x14ac:dyDescent="0.3">
      <c r="B21" s="8"/>
      <c r="C21" s="8"/>
      <c r="D21" s="8"/>
      <c r="E21" s="8"/>
      <c r="F21" s="8"/>
      <c r="G21" s="8"/>
      <c r="H21" s="8"/>
      <c r="I21" s="8"/>
      <c r="J21" s="8"/>
      <c r="K21" s="8"/>
    </row>
    <row r="22" spans="2:11" ht="15" customHeight="1" x14ac:dyDescent="0.3">
      <c r="B22" s="8"/>
      <c r="C22" s="8"/>
      <c r="D22" s="8"/>
      <c r="E22" s="8"/>
      <c r="F22" s="8"/>
      <c r="G22" s="8"/>
      <c r="H22" s="8"/>
      <c r="I22" s="8"/>
      <c r="J22" s="8"/>
      <c r="K22" s="8"/>
    </row>
    <row r="23" spans="2:11" ht="15" customHeight="1" x14ac:dyDescent="0.3"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2:11" ht="15" customHeight="1" x14ac:dyDescent="0.3">
      <c r="B24" s="8"/>
      <c r="C24" s="8"/>
      <c r="D24" s="8"/>
      <c r="E24" s="8"/>
      <c r="F24" s="8"/>
      <c r="G24" s="8"/>
      <c r="H24" s="8"/>
      <c r="I24" s="8"/>
      <c r="J24" s="8"/>
      <c r="K24" s="8"/>
    </row>
    <row r="25" spans="2:11" ht="15" customHeight="1" x14ac:dyDescent="0.3"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2:11" ht="15" customHeight="1" x14ac:dyDescent="0.3"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2:11" ht="15" customHeight="1" x14ac:dyDescent="0.3"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2:11" ht="15" customHeight="1" x14ac:dyDescent="0.3">
      <c r="B28" s="8"/>
      <c r="C28" s="8"/>
      <c r="D28" s="8"/>
      <c r="E28" s="8"/>
      <c r="F28" s="8"/>
      <c r="G28" s="8"/>
      <c r="H28" s="8"/>
      <c r="I28" s="8"/>
      <c r="J28" s="8"/>
      <c r="K28" s="8"/>
    </row>
    <row r="29" spans="2:11" ht="15" customHeight="1" x14ac:dyDescent="0.3"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2:11" ht="35.1" customHeight="1" x14ac:dyDescent="0.3">
      <c r="B30" s="8"/>
      <c r="C30" s="8"/>
      <c r="D30" s="8"/>
      <c r="E30" s="8"/>
      <c r="F30" s="8"/>
      <c r="G30" s="8"/>
      <c r="H30" s="8"/>
      <c r="I30" s="8"/>
      <c r="J30" s="8"/>
      <c r="K30" s="8"/>
    </row>
  </sheetData>
  <dataConsolidate/>
  <pageMargins left="0.19685039370078741" right="0.19685039370078741" top="0.39370078740157483" bottom="0.39370078740157483" header="0.19685039370078741" footer="0.19685039370078741"/>
  <pageSetup paperSize="9" scale="50" fitToHeight="0" orientation="landscape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006600"/>
    <pageSetUpPr fitToPage="1"/>
  </sheetPr>
  <dimension ref="B1:V105"/>
  <sheetViews>
    <sheetView showGridLines="0" zoomScale="80" zoomScaleNormal="80" workbookViewId="0">
      <selection activeCell="B2" sqref="B2"/>
    </sheetView>
  </sheetViews>
  <sheetFormatPr baseColWidth="10" defaultColWidth="10.6640625" defaultRowHeight="14.4" x14ac:dyDescent="0.3"/>
  <cols>
    <col min="1" max="1" width="2.6640625" style="15" customWidth="1"/>
    <col min="2" max="2" width="18.33203125" style="15" bestFit="1" customWidth="1"/>
    <col min="3" max="3" width="11.33203125" style="15" bestFit="1" customWidth="1"/>
    <col min="4" max="4" width="10.33203125" style="15" customWidth="1"/>
    <col min="5" max="5" width="10.33203125" style="15" bestFit="1" customWidth="1"/>
    <col min="6" max="6" width="11.33203125" style="15" bestFit="1" customWidth="1"/>
    <col min="7" max="11" width="10.33203125" style="15" bestFit="1" customWidth="1"/>
    <col min="12" max="16" width="10.33203125" style="15" customWidth="1"/>
    <col min="17" max="17" width="10.33203125" style="15" bestFit="1" customWidth="1"/>
    <col min="18" max="18" width="10.6640625" style="15"/>
    <col min="19" max="19" width="9.88671875" style="15" bestFit="1" customWidth="1"/>
    <col min="20" max="20" width="10.6640625" style="15"/>
    <col min="21" max="21" width="16.33203125" style="15" bestFit="1" customWidth="1"/>
    <col min="22" max="22" width="12.6640625" style="15" bestFit="1" customWidth="1"/>
    <col min="23" max="16384" width="10.6640625" style="15"/>
  </cols>
  <sheetData>
    <row r="1" spans="2:22" s="10" customFormat="1" x14ac:dyDescent="0.3">
      <c r="C1" s="11"/>
      <c r="D1" s="11"/>
      <c r="E1" s="11"/>
      <c r="F1" s="11"/>
      <c r="G1" s="11"/>
      <c r="H1" s="11"/>
      <c r="I1" s="11"/>
      <c r="Q1" s="11"/>
    </row>
    <row r="2" spans="2:22" s="10" customFormat="1" ht="21.6" thickBot="1" x14ac:dyDescent="0.35">
      <c r="B2" s="12" t="s">
        <v>122</v>
      </c>
      <c r="C2" s="13"/>
      <c r="D2" s="13"/>
      <c r="E2" s="13"/>
      <c r="F2" s="13"/>
      <c r="G2" s="13"/>
      <c r="H2" s="13"/>
      <c r="I2" s="13"/>
      <c r="J2" s="14"/>
      <c r="K2" s="12"/>
      <c r="L2" s="12"/>
      <c r="M2" s="12"/>
      <c r="N2" s="12"/>
      <c r="O2" s="12"/>
      <c r="P2" s="12"/>
      <c r="Q2" s="13"/>
    </row>
    <row r="3" spans="2:22" s="10" customFormat="1" x14ac:dyDescent="0.3">
      <c r="C3" s="11"/>
      <c r="D3" s="11"/>
      <c r="E3" s="11"/>
      <c r="F3" s="11"/>
      <c r="G3" s="11"/>
      <c r="H3" s="11"/>
      <c r="I3" s="11"/>
      <c r="Q3" s="11"/>
    </row>
    <row r="4" spans="2:22" x14ac:dyDescent="0.3">
      <c r="C4" s="15" t="s">
        <v>102</v>
      </c>
      <c r="D4" s="83" t="s">
        <v>129</v>
      </c>
      <c r="E4" s="15" t="s">
        <v>105</v>
      </c>
      <c r="F4" s="15" t="s">
        <v>124</v>
      </c>
      <c r="G4" s="15" t="s">
        <v>107</v>
      </c>
      <c r="H4" s="15" t="s">
        <v>106</v>
      </c>
      <c r="I4" s="15" t="s">
        <v>126</v>
      </c>
      <c r="J4" s="15" t="s">
        <v>100</v>
      </c>
      <c r="K4" s="15" t="s">
        <v>104</v>
      </c>
      <c r="L4" s="15" t="s">
        <v>101</v>
      </c>
      <c r="M4" s="15" t="s">
        <v>128</v>
      </c>
      <c r="N4" s="15" t="s">
        <v>99</v>
      </c>
      <c r="O4" s="15" t="s">
        <v>125</v>
      </c>
      <c r="P4" s="15" t="s">
        <v>103</v>
      </c>
      <c r="Q4" s="15" t="s">
        <v>127</v>
      </c>
    </row>
    <row r="5" spans="2:22" x14ac:dyDescent="0.3">
      <c r="B5" s="84" t="s">
        <v>90</v>
      </c>
      <c r="C5" s="85">
        <v>2096.6549999999997</v>
      </c>
      <c r="D5" s="85">
        <v>3479.7651402994065</v>
      </c>
      <c r="E5" s="85">
        <v>739.59770678958557</v>
      </c>
      <c r="F5" s="85">
        <v>1306.2142857142856</v>
      </c>
      <c r="G5" s="85">
        <v>1732.8074999999994</v>
      </c>
      <c r="H5" s="85">
        <v>626.37</v>
      </c>
      <c r="I5" s="85">
        <v>2105</v>
      </c>
      <c r="J5" s="85">
        <v>88.000000000000014</v>
      </c>
      <c r="K5" s="85">
        <v>53.849549999999994</v>
      </c>
      <c r="L5" s="85">
        <v>255.96145764144319</v>
      </c>
      <c r="M5" s="85">
        <v>761.59500000000014</v>
      </c>
      <c r="N5" s="85">
        <v>75.325850000000017</v>
      </c>
      <c r="O5" s="85">
        <v>300.36021978021961</v>
      </c>
      <c r="P5" s="85">
        <v>144.10000000000002</v>
      </c>
      <c r="Q5" s="85">
        <v>12</v>
      </c>
      <c r="S5" s="86">
        <f t="shared" ref="S5:S37" si="0">SUM(C5:Q5)</f>
        <v>13777.601710224939</v>
      </c>
      <c r="V5" s="83"/>
    </row>
    <row r="6" spans="2:22" x14ac:dyDescent="0.3">
      <c r="B6" s="84" t="s">
        <v>38</v>
      </c>
      <c r="C6" s="85">
        <v>896.07160500000009</v>
      </c>
      <c r="D6" s="85">
        <v>1042.7086102686296</v>
      </c>
      <c r="E6" s="85">
        <v>525.31534103328613</v>
      </c>
      <c r="F6" s="85">
        <v>576.7441494451715</v>
      </c>
      <c r="G6" s="85">
        <v>1747.1067815970398</v>
      </c>
      <c r="H6" s="85">
        <v>264.82419358961607</v>
      </c>
      <c r="I6" s="85">
        <v>0</v>
      </c>
      <c r="J6" s="85">
        <v>19.999999999999996</v>
      </c>
      <c r="K6" s="85">
        <v>128.10956999999999</v>
      </c>
      <c r="L6" s="85">
        <v>88.950000000000017</v>
      </c>
      <c r="M6" s="85">
        <v>315.36534642892332</v>
      </c>
      <c r="N6" s="85">
        <v>17</v>
      </c>
      <c r="O6" s="85">
        <v>139.21512016703122</v>
      </c>
      <c r="P6" s="85">
        <v>434.21400000000006</v>
      </c>
      <c r="Q6" s="85">
        <v>0</v>
      </c>
      <c r="S6" s="86">
        <f t="shared" si="0"/>
        <v>6195.6247175296976</v>
      </c>
      <c r="V6" s="83"/>
    </row>
    <row r="7" spans="2:22" x14ac:dyDescent="0.3">
      <c r="B7" s="84" t="s">
        <v>58</v>
      </c>
      <c r="C7" s="85">
        <v>2647.188913840298</v>
      </c>
      <c r="D7" s="85">
        <v>244.12533917932683</v>
      </c>
      <c r="E7" s="85">
        <v>334.54296388071521</v>
      </c>
      <c r="F7" s="85">
        <v>1937.1824305770513</v>
      </c>
      <c r="G7" s="85">
        <v>1366.234254</v>
      </c>
      <c r="H7" s="85">
        <v>36.206894596051917</v>
      </c>
      <c r="I7" s="85">
        <v>0</v>
      </c>
      <c r="J7" s="85">
        <v>22.520548031161979</v>
      </c>
      <c r="K7" s="85">
        <v>0</v>
      </c>
      <c r="L7" s="85">
        <v>363.33999999999986</v>
      </c>
      <c r="M7" s="85">
        <v>17.395232576986459</v>
      </c>
      <c r="N7" s="85">
        <v>125.93710688129758</v>
      </c>
      <c r="O7" s="85">
        <v>549.1453204229482</v>
      </c>
      <c r="P7" s="85">
        <v>209.20999999999998</v>
      </c>
      <c r="Q7" s="85">
        <v>0</v>
      </c>
      <c r="S7" s="86">
        <f t="shared" si="0"/>
        <v>7853.0290039858373</v>
      </c>
      <c r="V7" s="83"/>
    </row>
    <row r="8" spans="2:22" ht="28.8" x14ac:dyDescent="0.3">
      <c r="B8" s="84" t="s">
        <v>44</v>
      </c>
      <c r="C8" s="85">
        <v>427.50464091671961</v>
      </c>
      <c r="D8" s="85">
        <v>2792.3061426088557</v>
      </c>
      <c r="E8" s="85">
        <v>595.81874049274541</v>
      </c>
      <c r="F8" s="85">
        <v>1117.4275689382837</v>
      </c>
      <c r="G8" s="85">
        <v>645.19394999999975</v>
      </c>
      <c r="H8" s="85">
        <v>575.09999999999991</v>
      </c>
      <c r="I8" s="85">
        <v>0</v>
      </c>
      <c r="J8" s="85">
        <v>0</v>
      </c>
      <c r="K8" s="85">
        <v>96.872600000000006</v>
      </c>
      <c r="L8" s="85">
        <v>0</v>
      </c>
      <c r="M8" s="85">
        <v>306.57193409685419</v>
      </c>
      <c r="N8" s="85">
        <v>0</v>
      </c>
      <c r="O8" s="85">
        <v>364.11176421887177</v>
      </c>
      <c r="P8" s="85">
        <v>221.25338854177937</v>
      </c>
      <c r="Q8" s="85">
        <v>0</v>
      </c>
      <c r="S8" s="86">
        <f t="shared" si="0"/>
        <v>7142.1607298141089</v>
      </c>
      <c r="V8" s="83"/>
    </row>
    <row r="9" spans="2:22" x14ac:dyDescent="0.3">
      <c r="B9" s="84" t="s">
        <v>96</v>
      </c>
      <c r="C9" s="85">
        <v>0</v>
      </c>
      <c r="D9" s="85">
        <v>472.40046403040884</v>
      </c>
      <c r="E9" s="85">
        <v>38.043349583148228</v>
      </c>
      <c r="F9" s="85">
        <v>0</v>
      </c>
      <c r="G9" s="85">
        <v>0</v>
      </c>
      <c r="H9" s="85">
        <v>152.72764678800795</v>
      </c>
      <c r="I9" s="85">
        <v>0</v>
      </c>
      <c r="J9" s="85">
        <v>0</v>
      </c>
      <c r="K9" s="85">
        <v>0</v>
      </c>
      <c r="L9" s="85">
        <v>0</v>
      </c>
      <c r="M9" s="85">
        <v>222.14800531038773</v>
      </c>
      <c r="N9" s="85">
        <v>0</v>
      </c>
      <c r="O9" s="85">
        <v>0</v>
      </c>
      <c r="P9" s="85">
        <v>0</v>
      </c>
      <c r="Q9" s="85">
        <v>0</v>
      </c>
      <c r="S9" s="86">
        <f t="shared" si="0"/>
        <v>885.31946571195272</v>
      </c>
      <c r="V9" s="83"/>
    </row>
    <row r="10" spans="2:22" x14ac:dyDescent="0.3">
      <c r="B10" s="84" t="s">
        <v>0</v>
      </c>
      <c r="C10" s="85">
        <v>0</v>
      </c>
      <c r="D10" s="85">
        <v>1237.6753188098232</v>
      </c>
      <c r="E10" s="85">
        <v>97.651363332607204</v>
      </c>
      <c r="F10" s="85">
        <v>600.81505636619147</v>
      </c>
      <c r="G10" s="85">
        <v>415.13059825564466</v>
      </c>
      <c r="H10" s="85">
        <v>688.87467640870386</v>
      </c>
      <c r="I10" s="85">
        <v>929</v>
      </c>
      <c r="J10" s="85">
        <v>0</v>
      </c>
      <c r="K10" s="85">
        <v>2.3360399999999997</v>
      </c>
      <c r="L10" s="85">
        <v>0</v>
      </c>
      <c r="M10" s="85">
        <v>218.54873811114942</v>
      </c>
      <c r="N10" s="85">
        <v>0</v>
      </c>
      <c r="O10" s="85">
        <v>0</v>
      </c>
      <c r="P10" s="85">
        <v>0</v>
      </c>
      <c r="Q10" s="85">
        <v>0</v>
      </c>
      <c r="S10" s="86">
        <f t="shared" si="0"/>
        <v>4190.0317912841201</v>
      </c>
      <c r="V10" s="83"/>
    </row>
    <row r="11" spans="2:22" x14ac:dyDescent="0.3">
      <c r="B11" s="84" t="s">
        <v>64</v>
      </c>
      <c r="C11" s="85">
        <v>1497.4079999999999</v>
      </c>
      <c r="D11" s="85">
        <v>135.79134586199973</v>
      </c>
      <c r="E11" s="85">
        <v>0</v>
      </c>
      <c r="F11" s="85">
        <v>0</v>
      </c>
      <c r="G11" s="85">
        <v>0</v>
      </c>
      <c r="H11" s="85">
        <v>0</v>
      </c>
      <c r="I11" s="85">
        <v>0</v>
      </c>
      <c r="J11" s="85">
        <v>3.4</v>
      </c>
      <c r="K11" s="85">
        <v>0</v>
      </c>
      <c r="L11" s="85">
        <v>838.0500000000003</v>
      </c>
      <c r="M11" s="85">
        <v>0</v>
      </c>
      <c r="N11" s="85">
        <v>169.39469037203708</v>
      </c>
      <c r="O11" s="85">
        <v>0</v>
      </c>
      <c r="P11" s="85">
        <v>428.50000000000006</v>
      </c>
      <c r="Q11" s="85">
        <v>0</v>
      </c>
      <c r="S11" s="86">
        <f t="shared" si="0"/>
        <v>3072.5440362340369</v>
      </c>
      <c r="V11" s="83"/>
    </row>
    <row r="12" spans="2:22" x14ac:dyDescent="0.3">
      <c r="B12" s="84" t="s">
        <v>40</v>
      </c>
      <c r="C12" s="85">
        <v>0</v>
      </c>
      <c r="D12" s="85">
        <v>599.41273931252033</v>
      </c>
      <c r="E12" s="85">
        <v>871.85171225000636</v>
      </c>
      <c r="F12" s="85">
        <v>158.16120512172131</v>
      </c>
      <c r="G12" s="85">
        <v>253.98287080693498</v>
      </c>
      <c r="H12" s="85">
        <v>124.05703209390137</v>
      </c>
      <c r="I12" s="85">
        <v>0</v>
      </c>
      <c r="J12" s="85">
        <v>0</v>
      </c>
      <c r="K12" s="85">
        <v>645.6328091250839</v>
      </c>
      <c r="L12" s="85">
        <v>0</v>
      </c>
      <c r="M12" s="85">
        <v>94.572458728752068</v>
      </c>
      <c r="N12" s="85">
        <v>0</v>
      </c>
      <c r="O12" s="85">
        <v>0</v>
      </c>
      <c r="P12" s="85">
        <v>0</v>
      </c>
      <c r="Q12" s="85">
        <v>82</v>
      </c>
      <c r="S12" s="86">
        <f t="shared" si="0"/>
        <v>2829.6708274389202</v>
      </c>
      <c r="V12" s="83"/>
    </row>
    <row r="13" spans="2:22" x14ac:dyDescent="0.3">
      <c r="B13" s="84" t="s">
        <v>65</v>
      </c>
      <c r="C13" s="85">
        <v>2094.7561019348036</v>
      </c>
      <c r="D13" s="85">
        <v>46.267287829185584</v>
      </c>
      <c r="E13" s="85">
        <v>140.66365703816973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19</v>
      </c>
      <c r="L13" s="85">
        <v>132.09299999999999</v>
      </c>
      <c r="M13" s="85">
        <v>0</v>
      </c>
      <c r="N13" s="85">
        <v>18</v>
      </c>
      <c r="O13" s="85">
        <v>0</v>
      </c>
      <c r="P13" s="85">
        <v>264.70000000000005</v>
      </c>
      <c r="Q13" s="85">
        <v>0</v>
      </c>
      <c r="S13" s="86">
        <f t="shared" si="0"/>
        <v>2715.4800468021585</v>
      </c>
      <c r="V13" s="83"/>
    </row>
    <row r="14" spans="2:22" x14ac:dyDescent="0.3">
      <c r="B14" s="84" t="s">
        <v>53</v>
      </c>
      <c r="C14" s="85">
        <v>140</v>
      </c>
      <c r="D14" s="85">
        <v>397.29898076829085</v>
      </c>
      <c r="E14" s="85">
        <v>1.8935711723068911</v>
      </c>
      <c r="F14" s="85">
        <v>61.744662987772351</v>
      </c>
      <c r="G14" s="85">
        <v>559.16657999999995</v>
      </c>
      <c r="H14" s="85">
        <v>4.291056518856653</v>
      </c>
      <c r="I14" s="85">
        <v>0</v>
      </c>
      <c r="J14" s="85">
        <v>530.00000000000011</v>
      </c>
      <c r="K14" s="85">
        <v>0</v>
      </c>
      <c r="L14" s="85">
        <v>132.00027160888322</v>
      </c>
      <c r="M14" s="85">
        <v>53.736159935510351</v>
      </c>
      <c r="N14" s="85">
        <v>0</v>
      </c>
      <c r="O14" s="85">
        <v>697.475161504065</v>
      </c>
      <c r="P14" s="85">
        <v>66.900000000000006</v>
      </c>
      <c r="Q14" s="85">
        <v>0</v>
      </c>
      <c r="S14" s="86">
        <f t="shared" si="0"/>
        <v>2644.5064444956856</v>
      </c>
      <c r="V14" s="83"/>
    </row>
    <row r="15" spans="2:22" x14ac:dyDescent="0.3">
      <c r="B15" s="84" t="s">
        <v>9</v>
      </c>
      <c r="C15" s="85">
        <v>0</v>
      </c>
      <c r="D15" s="85">
        <v>0</v>
      </c>
      <c r="E15" s="85">
        <v>0</v>
      </c>
      <c r="F15" s="85">
        <v>0</v>
      </c>
      <c r="G15" s="85">
        <v>0</v>
      </c>
      <c r="H15" s="85">
        <v>123.12596240032593</v>
      </c>
      <c r="I15" s="85">
        <v>1881</v>
      </c>
      <c r="J15" s="85">
        <v>0</v>
      </c>
      <c r="K15" s="85">
        <v>0</v>
      </c>
      <c r="L15" s="85">
        <v>0</v>
      </c>
      <c r="M15" s="85">
        <v>0</v>
      </c>
      <c r="N15" s="85">
        <v>0</v>
      </c>
      <c r="O15" s="85">
        <v>0</v>
      </c>
      <c r="P15" s="85">
        <v>0</v>
      </c>
      <c r="Q15" s="85">
        <v>40</v>
      </c>
      <c r="S15" s="86">
        <f t="shared" si="0"/>
        <v>2044.125962400326</v>
      </c>
      <c r="V15" s="83"/>
    </row>
    <row r="16" spans="2:22" x14ac:dyDescent="0.3">
      <c r="B16" s="84" t="s">
        <v>25</v>
      </c>
      <c r="C16" s="85">
        <v>0</v>
      </c>
      <c r="D16" s="85">
        <v>0</v>
      </c>
      <c r="E16" s="85">
        <v>0</v>
      </c>
      <c r="F16" s="85">
        <v>1268.1445709192903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0</v>
      </c>
      <c r="O16" s="85">
        <v>49.410534171065493</v>
      </c>
      <c r="P16" s="85">
        <v>0</v>
      </c>
      <c r="Q16" s="85">
        <v>0</v>
      </c>
      <c r="S16" s="86">
        <f t="shared" si="0"/>
        <v>1317.5551050903559</v>
      </c>
      <c r="V16" s="83"/>
    </row>
    <row r="17" spans="2:22" x14ac:dyDescent="0.3">
      <c r="B17" s="84" t="s">
        <v>68</v>
      </c>
      <c r="C17" s="85">
        <v>0</v>
      </c>
      <c r="D17" s="85">
        <v>28.617171091395477</v>
      </c>
      <c r="E17" s="85">
        <v>43.276182766256191</v>
      </c>
      <c r="F17" s="85">
        <v>63.480000000000004</v>
      </c>
      <c r="G17" s="85">
        <v>950.8105672800001</v>
      </c>
      <c r="H17" s="85">
        <v>0</v>
      </c>
      <c r="I17" s="85">
        <v>0</v>
      </c>
      <c r="J17" s="85">
        <v>0</v>
      </c>
      <c r="K17" s="85">
        <v>55</v>
      </c>
      <c r="L17" s="85">
        <v>0</v>
      </c>
      <c r="M17" s="85">
        <v>54.026920871710161</v>
      </c>
      <c r="N17" s="85">
        <v>0</v>
      </c>
      <c r="O17" s="85">
        <v>69.55</v>
      </c>
      <c r="P17" s="85">
        <v>0</v>
      </c>
      <c r="Q17" s="85">
        <v>0</v>
      </c>
      <c r="S17" s="86">
        <f t="shared" si="0"/>
        <v>1264.760842009362</v>
      </c>
      <c r="V17" s="83"/>
    </row>
    <row r="18" spans="2:22" x14ac:dyDescent="0.3">
      <c r="B18" s="84" t="s">
        <v>55</v>
      </c>
      <c r="C18" s="85">
        <v>0</v>
      </c>
      <c r="D18" s="85">
        <v>0</v>
      </c>
      <c r="E18" s="85">
        <v>0</v>
      </c>
      <c r="F18" s="85">
        <v>474.0109999999998</v>
      </c>
      <c r="G18" s="85">
        <v>0</v>
      </c>
      <c r="H18" s="85">
        <v>636.39394328491437</v>
      </c>
      <c r="I18" s="85">
        <v>0</v>
      </c>
      <c r="J18" s="85">
        <v>0</v>
      </c>
      <c r="K18" s="85">
        <v>0</v>
      </c>
      <c r="L18" s="85">
        <v>0</v>
      </c>
      <c r="M18" s="85">
        <v>0</v>
      </c>
      <c r="N18" s="85">
        <v>0</v>
      </c>
      <c r="O18" s="85">
        <v>0</v>
      </c>
      <c r="P18" s="85">
        <v>0</v>
      </c>
      <c r="Q18" s="85">
        <v>0</v>
      </c>
      <c r="S18" s="86">
        <f t="shared" si="0"/>
        <v>1110.4049432849142</v>
      </c>
      <c r="V18" s="83"/>
    </row>
    <row r="19" spans="2:22" x14ac:dyDescent="0.3">
      <c r="B19" s="84" t="s">
        <v>47</v>
      </c>
      <c r="C19" s="85">
        <v>0</v>
      </c>
      <c r="D19" s="85">
        <v>0</v>
      </c>
      <c r="E19" s="85">
        <v>247.97702726459437</v>
      </c>
      <c r="F19" s="85">
        <v>0</v>
      </c>
      <c r="G19" s="85">
        <v>0</v>
      </c>
      <c r="H19" s="85">
        <v>0</v>
      </c>
      <c r="I19" s="85">
        <v>0</v>
      </c>
      <c r="J19" s="85">
        <v>0</v>
      </c>
      <c r="K19" s="85">
        <v>609.70499999999993</v>
      </c>
      <c r="L19" s="85">
        <v>0</v>
      </c>
      <c r="M19" s="85">
        <v>0</v>
      </c>
      <c r="N19" s="85">
        <v>43.442805567786294</v>
      </c>
      <c r="O19" s="85">
        <v>0</v>
      </c>
      <c r="P19" s="85">
        <v>0</v>
      </c>
      <c r="Q19" s="85">
        <v>105</v>
      </c>
      <c r="S19" s="86">
        <f t="shared" si="0"/>
        <v>1006.1248328323807</v>
      </c>
      <c r="V19" s="83"/>
    </row>
    <row r="20" spans="2:22" x14ac:dyDescent="0.3">
      <c r="B20" s="84" t="s">
        <v>84</v>
      </c>
      <c r="C20" s="85">
        <v>0</v>
      </c>
      <c r="D20" s="85">
        <v>0</v>
      </c>
      <c r="E20" s="85">
        <v>0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738.02622884882055</v>
      </c>
      <c r="M20" s="85">
        <v>0</v>
      </c>
      <c r="N20" s="85">
        <v>219.64926145002195</v>
      </c>
      <c r="O20" s="85">
        <v>0</v>
      </c>
      <c r="P20" s="85">
        <v>0</v>
      </c>
      <c r="Q20" s="85">
        <v>0</v>
      </c>
      <c r="S20" s="86">
        <f t="shared" si="0"/>
        <v>957.67549029884253</v>
      </c>
      <c r="V20" s="83"/>
    </row>
    <row r="21" spans="2:22" x14ac:dyDescent="0.3">
      <c r="B21" s="84" t="s">
        <v>94</v>
      </c>
      <c r="C21" s="85">
        <v>2071.112710408981</v>
      </c>
      <c r="D21" s="85">
        <v>80.308357981996906</v>
      </c>
      <c r="E21" s="85">
        <v>0</v>
      </c>
      <c r="F21" s="85">
        <v>0</v>
      </c>
      <c r="G21" s="85">
        <v>0</v>
      </c>
      <c r="H21" s="85">
        <v>0</v>
      </c>
      <c r="I21" s="85">
        <v>0</v>
      </c>
      <c r="J21" s="85">
        <v>1619.8</v>
      </c>
      <c r="K21" s="85">
        <v>0</v>
      </c>
      <c r="L21" s="85">
        <v>2043.817</v>
      </c>
      <c r="M21" s="85">
        <v>0</v>
      </c>
      <c r="N21" s="85">
        <v>163.21551789113309</v>
      </c>
      <c r="O21" s="85">
        <v>0</v>
      </c>
      <c r="P21" s="85">
        <v>152.49586128169443</v>
      </c>
      <c r="Q21" s="85">
        <v>0</v>
      </c>
      <c r="S21" s="86">
        <f t="shared" si="0"/>
        <v>6130.7494475638059</v>
      </c>
      <c r="V21" s="83"/>
    </row>
    <row r="22" spans="2:22" x14ac:dyDescent="0.3">
      <c r="B22" s="84" t="s">
        <v>57</v>
      </c>
      <c r="C22" s="85">
        <v>30.7</v>
      </c>
      <c r="D22" s="85">
        <v>93.762216852531878</v>
      </c>
      <c r="E22" s="85">
        <v>0</v>
      </c>
      <c r="F22" s="85">
        <v>246.1</v>
      </c>
      <c r="G22" s="85">
        <v>181.476137171104</v>
      </c>
      <c r="H22" s="85">
        <v>0</v>
      </c>
      <c r="I22" s="85">
        <v>0</v>
      </c>
      <c r="J22" s="85">
        <v>0</v>
      </c>
      <c r="K22" s="85">
        <v>0</v>
      </c>
      <c r="L22" s="85">
        <v>18.600000000000001</v>
      </c>
      <c r="M22" s="85">
        <v>33.854562932009308</v>
      </c>
      <c r="N22" s="85">
        <v>0</v>
      </c>
      <c r="O22" s="85">
        <v>178.90299999999991</v>
      </c>
      <c r="P22" s="85">
        <v>0</v>
      </c>
      <c r="Q22" s="85">
        <v>20</v>
      </c>
      <c r="S22" s="86">
        <f t="shared" si="0"/>
        <v>803.39591695564513</v>
      </c>
      <c r="V22" s="83"/>
    </row>
    <row r="23" spans="2:22" ht="28.8" x14ac:dyDescent="0.3">
      <c r="B23" s="84" t="s">
        <v>75</v>
      </c>
      <c r="C23" s="85">
        <v>0</v>
      </c>
      <c r="D23" s="85">
        <v>0</v>
      </c>
      <c r="E23" s="85">
        <v>0</v>
      </c>
      <c r="F23" s="85">
        <v>0</v>
      </c>
      <c r="G23" s="85">
        <v>0</v>
      </c>
      <c r="H23" s="85">
        <v>0</v>
      </c>
      <c r="I23" s="85">
        <v>208</v>
      </c>
      <c r="J23" s="85">
        <v>0</v>
      </c>
      <c r="K23" s="85">
        <v>523</v>
      </c>
      <c r="L23" s="85">
        <v>0</v>
      </c>
      <c r="M23" s="85">
        <v>0</v>
      </c>
      <c r="N23" s="85">
        <v>0</v>
      </c>
      <c r="O23" s="85">
        <v>0</v>
      </c>
      <c r="P23" s="85">
        <v>0</v>
      </c>
      <c r="Q23" s="85">
        <v>0</v>
      </c>
      <c r="S23" s="86">
        <f t="shared" si="0"/>
        <v>731</v>
      </c>
      <c r="V23" s="83"/>
    </row>
    <row r="24" spans="2:22" x14ac:dyDescent="0.3">
      <c r="B24" s="84" t="s">
        <v>20</v>
      </c>
      <c r="C24" s="85">
        <v>0</v>
      </c>
      <c r="D24" s="85">
        <v>27.360447593576794</v>
      </c>
      <c r="E24" s="85">
        <v>5.6976922941153241</v>
      </c>
      <c r="F24" s="85">
        <v>0</v>
      </c>
      <c r="G24" s="85">
        <v>0</v>
      </c>
      <c r="H24" s="85">
        <v>458.00000000000006</v>
      </c>
      <c r="I24" s="85">
        <v>191</v>
      </c>
      <c r="J24" s="85">
        <v>0</v>
      </c>
      <c r="K24" s="85">
        <v>0</v>
      </c>
      <c r="L24" s="85">
        <v>0</v>
      </c>
      <c r="M24" s="85">
        <v>2.9047544631885063</v>
      </c>
      <c r="N24" s="85">
        <v>0</v>
      </c>
      <c r="O24" s="85">
        <v>0</v>
      </c>
      <c r="P24" s="85">
        <v>0</v>
      </c>
      <c r="Q24" s="85">
        <v>0</v>
      </c>
      <c r="S24" s="86">
        <f t="shared" si="0"/>
        <v>684.96289435088067</v>
      </c>
      <c r="V24" s="83"/>
    </row>
    <row r="25" spans="2:22" x14ac:dyDescent="0.3">
      <c r="B25" s="84" t="s">
        <v>32</v>
      </c>
      <c r="C25" s="85">
        <v>114.88300893164008</v>
      </c>
      <c r="D25" s="85">
        <v>48.730359536936191</v>
      </c>
      <c r="E25" s="85">
        <v>0</v>
      </c>
      <c r="F25" s="85">
        <v>337.17198043064946</v>
      </c>
      <c r="G25" s="85">
        <v>72.515933241671661</v>
      </c>
      <c r="H25" s="85">
        <v>0</v>
      </c>
      <c r="I25" s="85">
        <v>0</v>
      </c>
      <c r="J25" s="85">
        <v>0</v>
      </c>
      <c r="K25" s="85">
        <v>4.0406099999999991</v>
      </c>
      <c r="L25" s="85">
        <v>12.55</v>
      </c>
      <c r="M25" s="85">
        <v>35.316806227591542</v>
      </c>
      <c r="N25" s="85">
        <v>0</v>
      </c>
      <c r="O25" s="85">
        <v>58.310801908550403</v>
      </c>
      <c r="P25" s="85">
        <v>0</v>
      </c>
      <c r="Q25" s="85">
        <v>0</v>
      </c>
      <c r="S25" s="86">
        <f t="shared" si="0"/>
        <v>683.51950027703924</v>
      </c>
      <c r="V25" s="83"/>
    </row>
    <row r="26" spans="2:22" ht="28.8" x14ac:dyDescent="0.3">
      <c r="B26" s="84" t="s">
        <v>24</v>
      </c>
      <c r="C26" s="85">
        <v>0</v>
      </c>
      <c r="D26" s="85">
        <v>0</v>
      </c>
      <c r="E26" s="85">
        <v>0</v>
      </c>
      <c r="F26" s="85">
        <v>0</v>
      </c>
      <c r="G26" s="85">
        <v>0</v>
      </c>
      <c r="H26" s="85">
        <v>0</v>
      </c>
      <c r="I26" s="85">
        <v>0</v>
      </c>
      <c r="J26" s="85">
        <v>600.20000000000005</v>
      </c>
      <c r="K26" s="85">
        <v>0</v>
      </c>
      <c r="L26" s="85">
        <v>0</v>
      </c>
      <c r="M26" s="85">
        <v>0</v>
      </c>
      <c r="N26" s="85">
        <v>0</v>
      </c>
      <c r="O26" s="85">
        <v>0</v>
      </c>
      <c r="P26" s="85">
        <v>0</v>
      </c>
      <c r="Q26" s="85">
        <v>0</v>
      </c>
      <c r="S26" s="86">
        <f t="shared" si="0"/>
        <v>600.20000000000005</v>
      </c>
      <c r="V26" s="83"/>
    </row>
    <row r="27" spans="2:22" x14ac:dyDescent="0.3">
      <c r="B27" s="84" t="s">
        <v>35</v>
      </c>
      <c r="C27" s="85">
        <v>0</v>
      </c>
      <c r="D27" s="85">
        <v>49.58711119126248</v>
      </c>
      <c r="E27" s="85">
        <v>123.65755664080345</v>
      </c>
      <c r="F27" s="85">
        <v>0</v>
      </c>
      <c r="G27" s="85">
        <v>0</v>
      </c>
      <c r="H27" s="85">
        <v>372.76999999999987</v>
      </c>
      <c r="I27" s="85">
        <v>0</v>
      </c>
      <c r="J27" s="85">
        <v>0</v>
      </c>
      <c r="K27" s="85">
        <v>0</v>
      </c>
      <c r="L27" s="85">
        <v>0</v>
      </c>
      <c r="M27" s="85">
        <v>16.613422294599221</v>
      </c>
      <c r="N27" s="85">
        <v>0</v>
      </c>
      <c r="O27" s="85">
        <v>0</v>
      </c>
      <c r="P27" s="85">
        <v>0</v>
      </c>
      <c r="Q27" s="85">
        <v>20</v>
      </c>
      <c r="S27" s="86">
        <f t="shared" si="0"/>
        <v>582.62809012666503</v>
      </c>
      <c r="V27" s="83"/>
    </row>
    <row r="28" spans="2:22" x14ac:dyDescent="0.3">
      <c r="B28" s="84" t="s">
        <v>30</v>
      </c>
      <c r="C28" s="85">
        <v>45.677609537598059</v>
      </c>
      <c r="D28" s="85">
        <v>47.451963697338385</v>
      </c>
      <c r="E28" s="85">
        <v>0</v>
      </c>
      <c r="F28" s="85">
        <v>303.6448832986207</v>
      </c>
      <c r="G28" s="85">
        <v>43.741457177052276</v>
      </c>
      <c r="H28" s="85">
        <v>51.378709288450366</v>
      </c>
      <c r="I28" s="85">
        <v>0</v>
      </c>
      <c r="J28" s="85">
        <v>0</v>
      </c>
      <c r="K28" s="85">
        <v>0</v>
      </c>
      <c r="L28" s="85">
        <v>58</v>
      </c>
      <c r="M28" s="85">
        <v>17.147513933467017</v>
      </c>
      <c r="N28" s="85">
        <v>0</v>
      </c>
      <c r="O28" s="85">
        <v>3.883694367565369</v>
      </c>
      <c r="P28" s="85">
        <v>0</v>
      </c>
      <c r="Q28" s="85">
        <v>0</v>
      </c>
      <c r="S28" s="86">
        <f t="shared" si="0"/>
        <v>570.92583130009211</v>
      </c>
      <c r="V28" s="83"/>
    </row>
    <row r="29" spans="2:22" x14ac:dyDescent="0.3">
      <c r="B29" s="84" t="s">
        <v>1</v>
      </c>
      <c r="C29" s="85">
        <v>0</v>
      </c>
      <c r="D29" s="85">
        <v>67.792403810449144</v>
      </c>
      <c r="E29" s="85">
        <v>0</v>
      </c>
      <c r="F29" s="85">
        <v>371.58892736422462</v>
      </c>
      <c r="G29" s="85">
        <v>0</v>
      </c>
      <c r="H29" s="85">
        <v>60.21166127305019</v>
      </c>
      <c r="I29" s="85">
        <v>0</v>
      </c>
      <c r="J29" s="85">
        <v>0</v>
      </c>
      <c r="K29" s="85">
        <v>0</v>
      </c>
      <c r="L29" s="85">
        <v>0</v>
      </c>
      <c r="M29" s="85">
        <v>24.807304218196382</v>
      </c>
      <c r="N29" s="85">
        <v>0</v>
      </c>
      <c r="O29" s="85">
        <v>9.4640000000000022</v>
      </c>
      <c r="P29" s="85">
        <v>0</v>
      </c>
      <c r="Q29" s="85">
        <v>2</v>
      </c>
      <c r="S29" s="86">
        <f t="shared" si="0"/>
        <v>535.86429666592039</v>
      </c>
      <c r="V29" s="83"/>
    </row>
    <row r="30" spans="2:22" x14ac:dyDescent="0.3">
      <c r="B30" s="84" t="s">
        <v>56</v>
      </c>
      <c r="C30" s="85">
        <v>0</v>
      </c>
      <c r="D30" s="85">
        <v>32.105331520896257</v>
      </c>
      <c r="E30" s="85">
        <v>57.911103451559065</v>
      </c>
      <c r="F30" s="85">
        <v>0</v>
      </c>
      <c r="G30" s="85">
        <v>0</v>
      </c>
      <c r="H30" s="85">
        <v>0</v>
      </c>
      <c r="I30" s="85">
        <v>0</v>
      </c>
      <c r="J30" s="85">
        <v>0</v>
      </c>
      <c r="K30" s="85">
        <v>388.76088400000003</v>
      </c>
      <c r="L30" s="85">
        <v>0</v>
      </c>
      <c r="M30" s="85">
        <v>16.327929504431378</v>
      </c>
      <c r="N30" s="85">
        <v>0</v>
      </c>
      <c r="O30" s="85">
        <v>0</v>
      </c>
      <c r="P30" s="85">
        <v>0</v>
      </c>
      <c r="Q30" s="85">
        <v>23</v>
      </c>
      <c r="S30" s="86">
        <f t="shared" si="0"/>
        <v>518.1052484768868</v>
      </c>
      <c r="V30" s="83"/>
    </row>
    <row r="31" spans="2:22" ht="28.8" x14ac:dyDescent="0.3">
      <c r="B31" s="84" t="s">
        <v>21</v>
      </c>
      <c r="C31" s="85">
        <v>0</v>
      </c>
      <c r="D31" s="85">
        <v>113.56568474973895</v>
      </c>
      <c r="E31" s="85">
        <v>293.61699648701835</v>
      </c>
      <c r="F31" s="85">
        <v>0</v>
      </c>
      <c r="G31" s="85">
        <v>52.318455386399997</v>
      </c>
      <c r="H31" s="85">
        <v>0</v>
      </c>
      <c r="I31" s="85">
        <v>0</v>
      </c>
      <c r="J31" s="85">
        <v>0</v>
      </c>
      <c r="K31" s="85">
        <v>4.4926200000000005</v>
      </c>
      <c r="L31" s="85">
        <v>0</v>
      </c>
      <c r="M31" s="85">
        <v>30.836479989575707</v>
      </c>
      <c r="N31" s="85">
        <v>0</v>
      </c>
      <c r="O31" s="85">
        <v>0</v>
      </c>
      <c r="P31" s="85">
        <v>0</v>
      </c>
      <c r="Q31" s="85">
        <v>0</v>
      </c>
      <c r="S31" s="86">
        <f t="shared" si="0"/>
        <v>494.83023661273296</v>
      </c>
      <c r="V31" s="83"/>
    </row>
    <row r="32" spans="2:22" x14ac:dyDescent="0.3">
      <c r="B32" s="84" t="s">
        <v>69</v>
      </c>
      <c r="C32" s="85">
        <v>0</v>
      </c>
      <c r="D32" s="85">
        <v>0</v>
      </c>
      <c r="E32" s="85">
        <v>0</v>
      </c>
      <c r="F32" s="85">
        <v>0</v>
      </c>
      <c r="G32" s="85">
        <v>0</v>
      </c>
      <c r="H32" s="85">
        <v>0</v>
      </c>
      <c r="I32" s="85">
        <v>0</v>
      </c>
      <c r="J32" s="85">
        <v>0</v>
      </c>
      <c r="K32" s="85">
        <v>0</v>
      </c>
      <c r="L32" s="85">
        <v>0</v>
      </c>
      <c r="M32" s="85">
        <v>0</v>
      </c>
      <c r="N32" s="85">
        <v>0</v>
      </c>
      <c r="O32" s="85">
        <v>0</v>
      </c>
      <c r="P32" s="85">
        <v>0</v>
      </c>
      <c r="Q32" s="85">
        <v>454</v>
      </c>
      <c r="S32" s="86">
        <f t="shared" si="0"/>
        <v>454</v>
      </c>
      <c r="V32" s="83"/>
    </row>
    <row r="33" spans="2:22" x14ac:dyDescent="0.3">
      <c r="B33" s="84" t="s">
        <v>45</v>
      </c>
      <c r="C33" s="85">
        <v>0</v>
      </c>
      <c r="D33" s="85">
        <v>5.4071050498322126</v>
      </c>
      <c r="E33" s="85">
        <v>0</v>
      </c>
      <c r="F33" s="85">
        <v>0</v>
      </c>
      <c r="G33" s="85">
        <v>0</v>
      </c>
      <c r="H33" s="85">
        <v>0</v>
      </c>
      <c r="I33" s="85">
        <v>0</v>
      </c>
      <c r="J33" s="85">
        <v>0</v>
      </c>
      <c r="K33" s="85">
        <v>5.25</v>
      </c>
      <c r="L33" s="85">
        <v>0</v>
      </c>
      <c r="M33" s="85">
        <v>435.39411544460455</v>
      </c>
      <c r="N33" s="85">
        <v>0</v>
      </c>
      <c r="O33" s="85">
        <v>0</v>
      </c>
      <c r="P33" s="85">
        <v>0</v>
      </c>
      <c r="Q33" s="85">
        <v>0</v>
      </c>
      <c r="S33" s="86">
        <f t="shared" si="0"/>
        <v>446.05122049443679</v>
      </c>
      <c r="V33" s="83"/>
    </row>
    <row r="34" spans="2:22" x14ac:dyDescent="0.3">
      <c r="B34" s="84" t="s">
        <v>19</v>
      </c>
      <c r="C34" s="85">
        <v>0</v>
      </c>
      <c r="D34" s="85">
        <v>211.35447298445533</v>
      </c>
      <c r="E34" s="85">
        <v>0</v>
      </c>
      <c r="F34" s="85">
        <v>0</v>
      </c>
      <c r="G34" s="85">
        <v>0</v>
      </c>
      <c r="H34" s="85">
        <v>0</v>
      </c>
      <c r="I34" s="85">
        <v>0</v>
      </c>
      <c r="J34" s="85">
        <v>0</v>
      </c>
      <c r="K34" s="85">
        <v>219.24271359999995</v>
      </c>
      <c r="L34" s="85">
        <v>0</v>
      </c>
      <c r="M34" s="85">
        <v>0</v>
      </c>
      <c r="N34" s="85">
        <v>0</v>
      </c>
      <c r="O34" s="85">
        <v>0</v>
      </c>
      <c r="P34" s="85">
        <v>0</v>
      </c>
      <c r="Q34" s="85">
        <v>2</v>
      </c>
      <c r="S34" s="86">
        <f t="shared" si="0"/>
        <v>432.59718658445524</v>
      </c>
      <c r="V34" s="83"/>
    </row>
    <row r="35" spans="2:22" x14ac:dyDescent="0.3">
      <c r="B35" s="84" t="s">
        <v>97</v>
      </c>
      <c r="C35" s="85">
        <v>0</v>
      </c>
      <c r="D35" s="85">
        <v>0</v>
      </c>
      <c r="E35" s="85">
        <v>0</v>
      </c>
      <c r="F35" s="85">
        <v>0</v>
      </c>
      <c r="G35" s="85">
        <v>0</v>
      </c>
      <c r="H35" s="85">
        <v>299.96892642604752</v>
      </c>
      <c r="I35" s="85">
        <v>0</v>
      </c>
      <c r="J35" s="85">
        <v>0</v>
      </c>
      <c r="K35" s="85">
        <v>0</v>
      </c>
      <c r="L35" s="85">
        <v>0</v>
      </c>
      <c r="M35" s="85">
        <v>0</v>
      </c>
      <c r="N35" s="85">
        <v>128.86986296012077</v>
      </c>
      <c r="O35" s="85">
        <v>0</v>
      </c>
      <c r="P35" s="85">
        <v>0</v>
      </c>
      <c r="Q35" s="85">
        <v>0</v>
      </c>
      <c r="S35" s="86">
        <f t="shared" si="0"/>
        <v>428.83878938616829</v>
      </c>
      <c r="V35" s="83"/>
    </row>
    <row r="36" spans="2:22" x14ac:dyDescent="0.3">
      <c r="B36" s="84" t="s">
        <v>14</v>
      </c>
      <c r="C36" s="85">
        <v>215.23452124351249</v>
      </c>
      <c r="D36" s="85">
        <v>0.76949555863959229</v>
      </c>
      <c r="E36" s="85">
        <v>0</v>
      </c>
      <c r="F36" s="85">
        <v>0</v>
      </c>
      <c r="G36" s="85">
        <v>0</v>
      </c>
      <c r="H36" s="85">
        <v>0</v>
      </c>
      <c r="I36" s="85">
        <v>0</v>
      </c>
      <c r="J36" s="85">
        <v>109.79999999999998</v>
      </c>
      <c r="K36" s="85">
        <v>41</v>
      </c>
      <c r="L36" s="85">
        <v>57.36999999999999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S36" s="86">
        <f t="shared" si="0"/>
        <v>424.1740168021521</v>
      </c>
      <c r="V36" s="83"/>
    </row>
    <row r="37" spans="2:22" x14ac:dyDescent="0.3">
      <c r="B37" s="84" t="s">
        <v>8</v>
      </c>
      <c r="C37" s="85">
        <v>0</v>
      </c>
      <c r="D37" s="85">
        <v>3.77502</v>
      </c>
      <c r="E37" s="85">
        <v>0</v>
      </c>
      <c r="F37" s="85">
        <v>165.90377271146647</v>
      </c>
      <c r="G37" s="85">
        <v>0</v>
      </c>
      <c r="H37" s="85">
        <v>238.49725177802046</v>
      </c>
      <c r="I37" s="85">
        <v>0</v>
      </c>
      <c r="J37" s="85">
        <v>0</v>
      </c>
      <c r="K37" s="85">
        <v>0</v>
      </c>
      <c r="L37" s="85">
        <v>0</v>
      </c>
      <c r="M37" s="85">
        <v>13.335812572296039</v>
      </c>
      <c r="N37" s="85">
        <v>0</v>
      </c>
      <c r="O37" s="85">
        <v>0</v>
      </c>
      <c r="P37" s="85">
        <v>0</v>
      </c>
      <c r="Q37" s="85">
        <v>0</v>
      </c>
      <c r="S37" s="86">
        <f t="shared" si="0"/>
        <v>421.51185706178296</v>
      </c>
      <c r="V37" s="83"/>
    </row>
    <row r="38" spans="2:22" x14ac:dyDescent="0.3">
      <c r="B38" s="84" t="s">
        <v>41</v>
      </c>
      <c r="C38" s="85">
        <v>0</v>
      </c>
      <c r="D38" s="85">
        <v>0</v>
      </c>
      <c r="E38" s="85">
        <v>0</v>
      </c>
      <c r="F38" s="85">
        <v>0</v>
      </c>
      <c r="G38" s="85">
        <v>0</v>
      </c>
      <c r="H38" s="85">
        <v>0</v>
      </c>
      <c r="I38" s="85">
        <v>0</v>
      </c>
      <c r="J38" s="85">
        <v>411.33000000000004</v>
      </c>
      <c r="K38" s="85">
        <v>0</v>
      </c>
      <c r="L38" s="85">
        <v>0</v>
      </c>
      <c r="M38" s="85">
        <v>0</v>
      </c>
      <c r="N38" s="85">
        <v>0</v>
      </c>
      <c r="O38" s="85">
        <v>0</v>
      </c>
      <c r="P38" s="85">
        <v>0</v>
      </c>
      <c r="Q38" s="85">
        <v>0</v>
      </c>
      <c r="S38" s="86">
        <f t="shared" ref="S38:S69" si="1">SUM(C38:Q38)</f>
        <v>411.33000000000004</v>
      </c>
      <c r="V38" s="83"/>
    </row>
    <row r="39" spans="2:22" x14ac:dyDescent="0.3">
      <c r="B39" s="84" t="s">
        <v>71</v>
      </c>
      <c r="C39" s="85">
        <v>0</v>
      </c>
      <c r="D39" s="85">
        <v>0</v>
      </c>
      <c r="E39" s="85">
        <v>0</v>
      </c>
      <c r="F39" s="85">
        <v>0</v>
      </c>
      <c r="G39" s="85">
        <v>0</v>
      </c>
      <c r="H39" s="85">
        <v>103</v>
      </c>
      <c r="I39" s="85">
        <v>0</v>
      </c>
      <c r="J39" s="85">
        <v>0</v>
      </c>
      <c r="K39" s="85">
        <v>71</v>
      </c>
      <c r="L39" s="85">
        <v>0</v>
      </c>
      <c r="M39" s="85">
        <v>0</v>
      </c>
      <c r="N39" s="85">
        <v>163.92024000000001</v>
      </c>
      <c r="O39" s="85">
        <v>0</v>
      </c>
      <c r="P39" s="85">
        <v>0</v>
      </c>
      <c r="Q39" s="85">
        <v>60</v>
      </c>
      <c r="S39" s="86">
        <f t="shared" si="1"/>
        <v>397.92024000000004</v>
      </c>
      <c r="V39" s="83"/>
    </row>
    <row r="40" spans="2:22" x14ac:dyDescent="0.3">
      <c r="B40" s="84" t="s">
        <v>23</v>
      </c>
      <c r="C40" s="85">
        <v>0</v>
      </c>
      <c r="D40" s="85">
        <v>0</v>
      </c>
      <c r="E40" s="85">
        <v>0</v>
      </c>
      <c r="F40" s="85">
        <v>0</v>
      </c>
      <c r="G40" s="85">
        <v>0</v>
      </c>
      <c r="H40" s="85">
        <v>0</v>
      </c>
      <c r="I40" s="85">
        <v>0</v>
      </c>
      <c r="J40" s="85">
        <v>380.44499999999999</v>
      </c>
      <c r="K40" s="85">
        <v>0</v>
      </c>
      <c r="L40" s="85">
        <v>0</v>
      </c>
      <c r="M40" s="85">
        <v>0</v>
      </c>
      <c r="N40" s="85">
        <v>0</v>
      </c>
      <c r="O40" s="85">
        <v>0</v>
      </c>
      <c r="P40" s="85">
        <v>0</v>
      </c>
      <c r="Q40" s="85">
        <v>0</v>
      </c>
      <c r="S40" s="86">
        <f t="shared" si="1"/>
        <v>380.44499999999999</v>
      </c>
      <c r="V40" s="83"/>
    </row>
    <row r="41" spans="2:22" x14ac:dyDescent="0.3">
      <c r="B41" s="84" t="s">
        <v>48</v>
      </c>
      <c r="C41" s="85">
        <v>0</v>
      </c>
      <c r="D41" s="85">
        <v>0</v>
      </c>
      <c r="E41" s="85">
        <v>0</v>
      </c>
      <c r="F41" s="85">
        <v>0</v>
      </c>
      <c r="G41" s="85">
        <v>0</v>
      </c>
      <c r="H41" s="85">
        <v>0</v>
      </c>
      <c r="I41" s="85">
        <v>0</v>
      </c>
      <c r="J41" s="85">
        <v>369.99999999999994</v>
      </c>
      <c r="K41" s="85">
        <v>0</v>
      </c>
      <c r="L41" s="85">
        <v>0</v>
      </c>
      <c r="M41" s="85">
        <v>0</v>
      </c>
      <c r="N41" s="85">
        <v>0</v>
      </c>
      <c r="O41" s="85">
        <v>0</v>
      </c>
      <c r="P41" s="85">
        <v>0</v>
      </c>
      <c r="Q41" s="85">
        <v>0</v>
      </c>
      <c r="S41" s="86">
        <f t="shared" si="1"/>
        <v>369.99999999999994</v>
      </c>
      <c r="V41" s="83"/>
    </row>
    <row r="42" spans="2:22" x14ac:dyDescent="0.3">
      <c r="B42" s="84" t="s">
        <v>66</v>
      </c>
      <c r="C42" s="85">
        <v>0</v>
      </c>
      <c r="D42" s="85">
        <v>91.095373284360988</v>
      </c>
      <c r="E42" s="85">
        <v>27.667010668231491</v>
      </c>
      <c r="F42" s="85">
        <v>0</v>
      </c>
      <c r="G42" s="85">
        <v>0</v>
      </c>
      <c r="H42" s="85">
        <v>61.999999999999986</v>
      </c>
      <c r="I42" s="85">
        <v>0</v>
      </c>
      <c r="J42" s="85">
        <v>0</v>
      </c>
      <c r="K42" s="85">
        <v>0</v>
      </c>
      <c r="L42" s="85">
        <v>0</v>
      </c>
      <c r="M42" s="85">
        <v>182.1437687287677</v>
      </c>
      <c r="N42" s="85">
        <v>0</v>
      </c>
      <c r="O42" s="85">
        <v>0</v>
      </c>
      <c r="P42" s="85">
        <v>0</v>
      </c>
      <c r="Q42" s="85">
        <v>0</v>
      </c>
      <c r="S42" s="86">
        <f t="shared" si="1"/>
        <v>362.90615268136014</v>
      </c>
      <c r="V42" s="83"/>
    </row>
    <row r="43" spans="2:22" x14ac:dyDescent="0.3">
      <c r="B43" s="84" t="s">
        <v>50</v>
      </c>
      <c r="C43" s="85">
        <v>0</v>
      </c>
      <c r="D43" s="85">
        <v>0</v>
      </c>
      <c r="E43" s="85">
        <v>60.053114000630913</v>
      </c>
      <c r="F43" s="85">
        <v>0</v>
      </c>
      <c r="G43" s="85">
        <v>0</v>
      </c>
      <c r="H43" s="85">
        <v>0</v>
      </c>
      <c r="I43" s="85">
        <v>0</v>
      </c>
      <c r="J43" s="85">
        <v>0</v>
      </c>
      <c r="K43" s="85">
        <v>188.35450000000003</v>
      </c>
      <c r="L43" s="85">
        <v>0</v>
      </c>
      <c r="M43" s="85">
        <v>0</v>
      </c>
      <c r="N43" s="85">
        <v>0</v>
      </c>
      <c r="O43" s="85">
        <v>0</v>
      </c>
      <c r="P43" s="85">
        <v>0</v>
      </c>
      <c r="Q43" s="85">
        <v>110</v>
      </c>
      <c r="S43" s="86">
        <f t="shared" si="1"/>
        <v>358.40761400063093</v>
      </c>
      <c r="V43" s="83"/>
    </row>
    <row r="44" spans="2:22" x14ac:dyDescent="0.3">
      <c r="B44" s="84" t="s">
        <v>73</v>
      </c>
      <c r="C44" s="85">
        <v>0</v>
      </c>
      <c r="D44" s="85">
        <v>0</v>
      </c>
      <c r="E44" s="85">
        <v>5.3366843749082307</v>
      </c>
      <c r="F44" s="85">
        <v>282.6032759293152</v>
      </c>
      <c r="G44" s="85">
        <v>0</v>
      </c>
      <c r="H44" s="85">
        <v>45.314639352520921</v>
      </c>
      <c r="I44" s="85">
        <v>0</v>
      </c>
      <c r="J44" s="85">
        <v>0</v>
      </c>
      <c r="K44" s="85">
        <v>0</v>
      </c>
      <c r="L44" s="85">
        <v>0</v>
      </c>
      <c r="M44" s="85">
        <v>0</v>
      </c>
      <c r="N44" s="85">
        <v>0</v>
      </c>
      <c r="O44" s="85">
        <v>4.1032520750190002</v>
      </c>
      <c r="P44" s="85">
        <v>0</v>
      </c>
      <c r="Q44" s="85">
        <v>0</v>
      </c>
      <c r="S44" s="86">
        <f t="shared" si="1"/>
        <v>337.35785173176333</v>
      </c>
      <c r="V44" s="83"/>
    </row>
    <row r="45" spans="2:22" x14ac:dyDescent="0.3">
      <c r="B45" s="84" t="s">
        <v>43</v>
      </c>
      <c r="C45" s="85">
        <v>0</v>
      </c>
      <c r="D45" s="85">
        <v>8.7830856308314562</v>
      </c>
      <c r="E45" s="85">
        <v>0</v>
      </c>
      <c r="F45" s="85">
        <v>0</v>
      </c>
      <c r="G45" s="85">
        <v>0</v>
      </c>
      <c r="H45" s="85">
        <v>0</v>
      </c>
      <c r="I45" s="85">
        <v>0</v>
      </c>
      <c r="J45" s="85">
        <v>326.77999999999997</v>
      </c>
      <c r="K45" s="85">
        <v>0</v>
      </c>
      <c r="L45" s="85">
        <v>0</v>
      </c>
      <c r="M45" s="85">
        <v>0</v>
      </c>
      <c r="N45" s="85">
        <v>0</v>
      </c>
      <c r="O45" s="85">
        <v>0</v>
      </c>
      <c r="P45" s="85">
        <v>0</v>
      </c>
      <c r="Q45" s="85">
        <v>0</v>
      </c>
      <c r="S45" s="86">
        <f t="shared" si="1"/>
        <v>335.56308563083144</v>
      </c>
      <c r="V45" s="83"/>
    </row>
    <row r="46" spans="2:22" x14ac:dyDescent="0.3">
      <c r="B46" s="84" t="s">
        <v>16</v>
      </c>
      <c r="C46" s="85">
        <v>0</v>
      </c>
      <c r="D46" s="85">
        <v>0</v>
      </c>
      <c r="E46" s="85">
        <v>0</v>
      </c>
      <c r="F46" s="85">
        <v>0</v>
      </c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280.60000000000002</v>
      </c>
      <c r="M46" s="85">
        <v>0</v>
      </c>
      <c r="N46" s="85">
        <v>37.697757463812273</v>
      </c>
      <c r="O46" s="85">
        <v>0</v>
      </c>
      <c r="P46" s="85">
        <v>0</v>
      </c>
      <c r="Q46" s="85">
        <v>0</v>
      </c>
      <c r="S46" s="86">
        <f t="shared" si="1"/>
        <v>318.29775746381227</v>
      </c>
      <c r="V46" s="83"/>
    </row>
    <row r="47" spans="2:22" x14ac:dyDescent="0.3">
      <c r="B47" s="84" t="s">
        <v>2</v>
      </c>
      <c r="C47" s="85">
        <v>0</v>
      </c>
      <c r="D47" s="85">
        <v>0</v>
      </c>
      <c r="E47" s="85">
        <v>0</v>
      </c>
      <c r="F47" s="85">
        <v>88.231070419272399</v>
      </c>
      <c r="G47" s="85">
        <v>0</v>
      </c>
      <c r="H47" s="85">
        <v>198.2165027609048</v>
      </c>
      <c r="I47" s="85">
        <v>0</v>
      </c>
      <c r="J47" s="85">
        <v>0</v>
      </c>
      <c r="K47" s="85">
        <v>0</v>
      </c>
      <c r="L47" s="85">
        <v>0</v>
      </c>
      <c r="M47" s="85">
        <v>11.588579692271626</v>
      </c>
      <c r="N47" s="85">
        <v>0</v>
      </c>
      <c r="O47" s="85">
        <v>0.84129542496812804</v>
      </c>
      <c r="P47" s="85">
        <v>0</v>
      </c>
      <c r="Q47" s="85">
        <v>0</v>
      </c>
      <c r="S47" s="86">
        <f t="shared" si="1"/>
        <v>298.87744829741695</v>
      </c>
      <c r="V47" s="83"/>
    </row>
    <row r="48" spans="2:22" x14ac:dyDescent="0.3">
      <c r="B48" s="84" t="s">
        <v>39</v>
      </c>
      <c r="C48" s="85">
        <v>0</v>
      </c>
      <c r="D48" s="85">
        <v>71.709826966734028</v>
      </c>
      <c r="E48" s="85">
        <v>0</v>
      </c>
      <c r="F48" s="85">
        <v>0</v>
      </c>
      <c r="G48" s="85">
        <v>0</v>
      </c>
      <c r="H48" s="85">
        <v>0</v>
      </c>
      <c r="I48" s="85">
        <v>0</v>
      </c>
      <c r="J48" s="85">
        <v>0</v>
      </c>
      <c r="K48" s="85">
        <v>217.50840000000002</v>
      </c>
      <c r="L48" s="85">
        <v>0</v>
      </c>
      <c r="M48" s="85">
        <v>0</v>
      </c>
      <c r="N48" s="85">
        <v>0</v>
      </c>
      <c r="O48" s="85">
        <v>0</v>
      </c>
      <c r="P48" s="85">
        <v>0</v>
      </c>
      <c r="Q48" s="85">
        <v>0</v>
      </c>
      <c r="S48" s="86">
        <f t="shared" si="1"/>
        <v>289.21822696673405</v>
      </c>
      <c r="V48" s="83"/>
    </row>
    <row r="49" spans="2:22" ht="28.8" x14ac:dyDescent="0.3">
      <c r="B49" s="84" t="s">
        <v>34</v>
      </c>
      <c r="C49" s="85">
        <v>0</v>
      </c>
      <c r="D49" s="85">
        <v>12.060379823365283</v>
      </c>
      <c r="E49" s="85">
        <v>14.371304747112347</v>
      </c>
      <c r="F49" s="85">
        <v>0</v>
      </c>
      <c r="G49" s="85">
        <v>0</v>
      </c>
      <c r="H49" s="85">
        <v>0</v>
      </c>
      <c r="I49" s="85">
        <v>0</v>
      </c>
      <c r="J49" s="85">
        <v>0</v>
      </c>
      <c r="K49" s="85">
        <v>241.511416</v>
      </c>
      <c r="L49" s="85">
        <v>0</v>
      </c>
      <c r="M49" s="85">
        <v>0</v>
      </c>
      <c r="N49" s="85">
        <v>0</v>
      </c>
      <c r="O49" s="85">
        <v>0</v>
      </c>
      <c r="P49" s="85">
        <v>0</v>
      </c>
      <c r="Q49" s="85">
        <v>14</v>
      </c>
      <c r="S49" s="86">
        <f t="shared" si="1"/>
        <v>281.94310057047761</v>
      </c>
      <c r="V49" s="83"/>
    </row>
    <row r="50" spans="2:22" x14ac:dyDescent="0.3">
      <c r="B50" s="84" t="s">
        <v>51</v>
      </c>
      <c r="C50" s="85">
        <v>0</v>
      </c>
      <c r="D50" s="85">
        <v>0</v>
      </c>
      <c r="E50" s="85">
        <v>0</v>
      </c>
      <c r="F50" s="85">
        <v>21.860953610396319</v>
      </c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0</v>
      </c>
      <c r="M50" s="85">
        <v>0</v>
      </c>
      <c r="N50" s="85">
        <v>0</v>
      </c>
      <c r="O50" s="85">
        <v>210.49536411357599</v>
      </c>
      <c r="P50" s="85">
        <v>0</v>
      </c>
      <c r="Q50" s="85">
        <v>0</v>
      </c>
      <c r="S50" s="86">
        <f t="shared" si="1"/>
        <v>232.3563177239723</v>
      </c>
      <c r="V50" s="83"/>
    </row>
    <row r="51" spans="2:22" x14ac:dyDescent="0.3">
      <c r="B51" s="84" t="s">
        <v>70</v>
      </c>
      <c r="C51" s="85">
        <v>0</v>
      </c>
      <c r="D51" s="85">
        <v>0</v>
      </c>
      <c r="E51" s="85">
        <v>0</v>
      </c>
      <c r="F51" s="85">
        <v>0</v>
      </c>
      <c r="G51" s="85">
        <v>210.375</v>
      </c>
      <c r="H51" s="85">
        <v>0</v>
      </c>
      <c r="I51" s="85">
        <v>0</v>
      </c>
      <c r="J51" s="85">
        <v>0</v>
      </c>
      <c r="K51" s="85">
        <v>0</v>
      </c>
      <c r="L51" s="85">
        <v>0</v>
      </c>
      <c r="M51" s="85">
        <v>0</v>
      </c>
      <c r="N51" s="85">
        <v>0</v>
      </c>
      <c r="O51" s="85">
        <v>0</v>
      </c>
      <c r="P51" s="85">
        <v>0</v>
      </c>
      <c r="Q51" s="85">
        <v>0</v>
      </c>
      <c r="S51" s="86">
        <f t="shared" si="1"/>
        <v>210.375</v>
      </c>
      <c r="V51" s="83"/>
    </row>
    <row r="52" spans="2:22" x14ac:dyDescent="0.3">
      <c r="B52" s="84" t="s">
        <v>95</v>
      </c>
      <c r="C52" s="85">
        <v>0</v>
      </c>
      <c r="D52" s="85">
        <v>0</v>
      </c>
      <c r="E52" s="85">
        <v>0</v>
      </c>
      <c r="F52" s="85">
        <v>0</v>
      </c>
      <c r="G52" s="85">
        <v>0</v>
      </c>
      <c r="H52" s="85">
        <v>0</v>
      </c>
      <c r="I52" s="85">
        <v>206</v>
      </c>
      <c r="J52" s="85">
        <v>0</v>
      </c>
      <c r="K52" s="85">
        <v>0</v>
      </c>
      <c r="L52" s="85">
        <v>0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S52" s="86">
        <f t="shared" si="1"/>
        <v>206</v>
      </c>
      <c r="V52" s="83"/>
    </row>
    <row r="53" spans="2:22" x14ac:dyDescent="0.3">
      <c r="B53" s="84" t="s">
        <v>81</v>
      </c>
      <c r="C53" s="85">
        <v>0</v>
      </c>
      <c r="D53" s="85">
        <v>0</v>
      </c>
      <c r="E53" s="85">
        <v>52.91484234982083</v>
      </c>
      <c r="F53" s="85">
        <v>0</v>
      </c>
      <c r="G53" s="85">
        <v>0</v>
      </c>
      <c r="H53" s="85">
        <v>0</v>
      </c>
      <c r="I53" s="85">
        <v>0</v>
      </c>
      <c r="J53" s="85">
        <v>0</v>
      </c>
      <c r="K53" s="85">
        <v>124</v>
      </c>
      <c r="L53" s="85">
        <v>0</v>
      </c>
      <c r="M53" s="85">
        <v>0</v>
      </c>
      <c r="N53" s="85">
        <v>0</v>
      </c>
      <c r="O53" s="85">
        <v>0</v>
      </c>
      <c r="P53" s="85">
        <v>0</v>
      </c>
      <c r="Q53" s="85">
        <v>20</v>
      </c>
      <c r="S53" s="86">
        <f t="shared" si="1"/>
        <v>196.91484234982084</v>
      </c>
    </row>
    <row r="54" spans="2:22" ht="28.8" x14ac:dyDescent="0.3">
      <c r="B54" s="84" t="s">
        <v>83</v>
      </c>
      <c r="C54" s="85">
        <v>0</v>
      </c>
      <c r="D54" s="85">
        <v>0</v>
      </c>
      <c r="E54" s="85">
        <v>0</v>
      </c>
      <c r="F54" s="85">
        <v>0</v>
      </c>
      <c r="G54" s="85">
        <v>0</v>
      </c>
      <c r="H54" s="85">
        <v>190.91660850249195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S54" s="86">
        <f t="shared" si="1"/>
        <v>190.91660850249195</v>
      </c>
    </row>
    <row r="55" spans="2:22" x14ac:dyDescent="0.3">
      <c r="B55" s="84" t="s">
        <v>92</v>
      </c>
      <c r="C55" s="85">
        <v>0</v>
      </c>
      <c r="D55" s="85">
        <v>0</v>
      </c>
      <c r="E55" s="85">
        <v>0</v>
      </c>
      <c r="F55" s="85">
        <v>0</v>
      </c>
      <c r="G55" s="85">
        <v>0</v>
      </c>
      <c r="H55" s="85">
        <v>34.751312494340098</v>
      </c>
      <c r="I55" s="85">
        <v>0</v>
      </c>
      <c r="J55" s="85">
        <v>0</v>
      </c>
      <c r="K55" s="85">
        <v>37</v>
      </c>
      <c r="L55" s="85">
        <v>0</v>
      </c>
      <c r="M55" s="85">
        <v>40.803985504835225</v>
      </c>
      <c r="N55" s="85">
        <v>0</v>
      </c>
      <c r="O55" s="85">
        <v>0</v>
      </c>
      <c r="P55" s="85">
        <v>0</v>
      </c>
      <c r="Q55" s="85">
        <v>74</v>
      </c>
      <c r="S55" s="86">
        <f t="shared" si="1"/>
        <v>186.55529799917531</v>
      </c>
    </row>
    <row r="56" spans="2:22" x14ac:dyDescent="0.3">
      <c r="B56" s="84" t="s">
        <v>79</v>
      </c>
      <c r="C56" s="85">
        <v>0</v>
      </c>
      <c r="D56" s="85">
        <v>0</v>
      </c>
      <c r="E56" s="85">
        <v>66.833886519995801</v>
      </c>
      <c r="F56" s="85">
        <v>0</v>
      </c>
      <c r="G56" s="85">
        <v>0</v>
      </c>
      <c r="H56" s="85">
        <v>0</v>
      </c>
      <c r="I56" s="85">
        <v>0</v>
      </c>
      <c r="J56" s="85">
        <v>0</v>
      </c>
      <c r="K56" s="85">
        <v>108</v>
      </c>
      <c r="L56" s="85">
        <v>0</v>
      </c>
      <c r="M56" s="85">
        <v>0</v>
      </c>
      <c r="N56" s="85">
        <v>0</v>
      </c>
      <c r="O56" s="85">
        <v>0</v>
      </c>
      <c r="P56" s="85">
        <v>0</v>
      </c>
      <c r="Q56" s="85">
        <v>8</v>
      </c>
      <c r="S56" s="86">
        <f t="shared" si="1"/>
        <v>182.83388651999581</v>
      </c>
    </row>
    <row r="57" spans="2:22" x14ac:dyDescent="0.3">
      <c r="B57" s="84" t="s">
        <v>26</v>
      </c>
      <c r="C57" s="85">
        <v>0</v>
      </c>
      <c r="D57" s="85">
        <v>5.0773893710067144</v>
      </c>
      <c r="E57" s="85">
        <v>171.69543952729811</v>
      </c>
      <c r="F57" s="85">
        <v>0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2.28933793987169</v>
      </c>
      <c r="N57" s="85">
        <v>0</v>
      </c>
      <c r="O57" s="85">
        <v>0</v>
      </c>
      <c r="P57" s="85">
        <v>0</v>
      </c>
      <c r="Q57" s="85">
        <v>0</v>
      </c>
      <c r="S57" s="86">
        <f t="shared" si="1"/>
        <v>179.06216683817652</v>
      </c>
    </row>
    <row r="58" spans="2:22" x14ac:dyDescent="0.3">
      <c r="B58" s="84" t="s">
        <v>85</v>
      </c>
      <c r="C58" s="85">
        <v>0</v>
      </c>
      <c r="D58" s="85">
        <v>0</v>
      </c>
      <c r="E58" s="85">
        <v>0</v>
      </c>
      <c r="F58" s="85">
        <v>0</v>
      </c>
      <c r="G58" s="85">
        <v>0</v>
      </c>
      <c r="H58" s="85">
        <v>0</v>
      </c>
      <c r="I58" s="85">
        <v>0</v>
      </c>
      <c r="J58" s="85">
        <v>0</v>
      </c>
      <c r="K58" s="85">
        <v>141</v>
      </c>
      <c r="L58" s="85">
        <v>0</v>
      </c>
      <c r="M58" s="85">
        <v>0</v>
      </c>
      <c r="N58" s="85">
        <v>0</v>
      </c>
      <c r="O58" s="85">
        <v>0</v>
      </c>
      <c r="P58" s="85">
        <v>0</v>
      </c>
      <c r="Q58" s="85">
        <v>39</v>
      </c>
      <c r="S58" s="86">
        <f t="shared" si="1"/>
        <v>180</v>
      </c>
    </row>
    <row r="59" spans="2:22" x14ac:dyDescent="0.3">
      <c r="B59" s="84" t="s">
        <v>61</v>
      </c>
      <c r="C59" s="85">
        <v>0</v>
      </c>
      <c r="D59" s="85">
        <v>43.64858053954687</v>
      </c>
      <c r="E59" s="85">
        <v>118.47784678323809</v>
      </c>
      <c r="F59" s="85">
        <v>0</v>
      </c>
      <c r="G59" s="85">
        <v>0</v>
      </c>
      <c r="H59" s="85">
        <v>0</v>
      </c>
      <c r="I59" s="85">
        <v>0</v>
      </c>
      <c r="J59" s="85">
        <v>0</v>
      </c>
      <c r="K59" s="85">
        <v>14</v>
      </c>
      <c r="L59" s="85">
        <v>0</v>
      </c>
      <c r="M59" s="85">
        <v>2.0434308576199385</v>
      </c>
      <c r="N59" s="85">
        <v>0</v>
      </c>
      <c r="O59" s="85">
        <v>0</v>
      </c>
      <c r="P59" s="85">
        <v>0</v>
      </c>
      <c r="Q59" s="85">
        <v>0</v>
      </c>
      <c r="S59" s="86">
        <f t="shared" si="1"/>
        <v>178.1698581804049</v>
      </c>
    </row>
    <row r="60" spans="2:22" ht="28.8" x14ac:dyDescent="0.3">
      <c r="B60" s="84" t="s">
        <v>59</v>
      </c>
      <c r="C60" s="85">
        <v>0</v>
      </c>
      <c r="D60" s="85">
        <v>0</v>
      </c>
      <c r="E60" s="85">
        <v>0</v>
      </c>
      <c r="F60" s="85">
        <v>0</v>
      </c>
      <c r="G60" s="85">
        <v>0</v>
      </c>
      <c r="H60" s="85">
        <v>0</v>
      </c>
      <c r="I60" s="85">
        <v>164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  <c r="O60" s="85">
        <v>0</v>
      </c>
      <c r="P60" s="85">
        <v>0</v>
      </c>
      <c r="Q60" s="85">
        <v>0</v>
      </c>
      <c r="S60" s="86">
        <f t="shared" si="1"/>
        <v>164</v>
      </c>
    </row>
    <row r="61" spans="2:22" x14ac:dyDescent="0.3">
      <c r="B61" s="84" t="s">
        <v>82</v>
      </c>
      <c r="C61" s="85">
        <v>0</v>
      </c>
      <c r="D61" s="85">
        <v>0</v>
      </c>
      <c r="E61" s="85">
        <v>0</v>
      </c>
      <c r="F61" s="85">
        <v>0</v>
      </c>
      <c r="G61" s="85">
        <v>0</v>
      </c>
      <c r="H61" s="85">
        <v>160.23001296047261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  <c r="O61" s="85">
        <v>0</v>
      </c>
      <c r="P61" s="85">
        <v>0</v>
      </c>
      <c r="Q61" s="85">
        <v>0</v>
      </c>
      <c r="S61" s="86">
        <f t="shared" si="1"/>
        <v>160.23001296047261</v>
      </c>
    </row>
    <row r="62" spans="2:22" x14ac:dyDescent="0.3">
      <c r="B62" s="84" t="s">
        <v>62</v>
      </c>
      <c r="C62" s="85">
        <v>0</v>
      </c>
      <c r="D62" s="85">
        <v>0</v>
      </c>
      <c r="E62" s="85">
        <v>23.387905586024011</v>
      </c>
      <c r="F62" s="85">
        <v>0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0</v>
      </c>
      <c r="M62" s="85">
        <v>0</v>
      </c>
      <c r="N62" s="85">
        <v>0</v>
      </c>
      <c r="O62" s="85">
        <v>0</v>
      </c>
      <c r="P62" s="85">
        <v>132.77000000000001</v>
      </c>
      <c r="Q62" s="85">
        <v>0</v>
      </c>
      <c r="S62" s="86">
        <f t="shared" si="1"/>
        <v>156.15790558602401</v>
      </c>
    </row>
    <row r="63" spans="2:22" x14ac:dyDescent="0.3">
      <c r="B63" s="84" t="s">
        <v>91</v>
      </c>
      <c r="C63" s="85">
        <v>0</v>
      </c>
      <c r="D63" s="85">
        <v>0</v>
      </c>
      <c r="E63" s="85">
        <v>0</v>
      </c>
      <c r="F63" s="85">
        <v>0</v>
      </c>
      <c r="G63" s="85">
        <v>0</v>
      </c>
      <c r="H63" s="85">
        <v>0</v>
      </c>
      <c r="I63" s="85">
        <v>0</v>
      </c>
      <c r="J63" s="85">
        <v>145.95194568301585</v>
      </c>
      <c r="K63" s="85">
        <v>0</v>
      </c>
      <c r="L63" s="85">
        <v>0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S63" s="86">
        <f t="shared" si="1"/>
        <v>145.95194568301585</v>
      </c>
    </row>
    <row r="64" spans="2:22" x14ac:dyDescent="0.3">
      <c r="B64" s="84" t="s">
        <v>87</v>
      </c>
      <c r="C64" s="85">
        <v>0</v>
      </c>
      <c r="D64" s="85">
        <v>0</v>
      </c>
      <c r="E64" s="85">
        <v>0</v>
      </c>
      <c r="F64" s="85">
        <v>0</v>
      </c>
      <c r="G64" s="85">
        <v>0</v>
      </c>
      <c r="H64" s="85">
        <v>0</v>
      </c>
      <c r="I64" s="85">
        <v>0</v>
      </c>
      <c r="J64" s="85">
        <v>0</v>
      </c>
      <c r="K64" s="85">
        <v>1.3051500000000003</v>
      </c>
      <c r="L64" s="85">
        <v>0</v>
      </c>
      <c r="M64" s="85">
        <v>0</v>
      </c>
      <c r="N64" s="85">
        <v>144.27964999999998</v>
      </c>
      <c r="O64" s="85">
        <v>0</v>
      </c>
      <c r="P64" s="85">
        <v>0</v>
      </c>
      <c r="Q64" s="85">
        <v>0</v>
      </c>
      <c r="S64" s="86">
        <f t="shared" si="1"/>
        <v>145.58479999999997</v>
      </c>
    </row>
    <row r="65" spans="2:19" x14ac:dyDescent="0.3">
      <c r="B65" s="84" t="s">
        <v>77</v>
      </c>
      <c r="C65" s="85">
        <v>0</v>
      </c>
      <c r="D65" s="85">
        <v>0</v>
      </c>
      <c r="E65" s="85">
        <v>0</v>
      </c>
      <c r="F65" s="85">
        <v>0</v>
      </c>
      <c r="G65" s="85">
        <v>0</v>
      </c>
      <c r="H65" s="85">
        <v>143.04116998278519</v>
      </c>
      <c r="I65" s="85">
        <v>0</v>
      </c>
      <c r="J65" s="85">
        <v>0</v>
      </c>
      <c r="K65" s="85">
        <v>0</v>
      </c>
      <c r="L65" s="85">
        <v>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S65" s="86">
        <f t="shared" si="1"/>
        <v>143.04116998278519</v>
      </c>
    </row>
    <row r="66" spans="2:19" x14ac:dyDescent="0.3">
      <c r="B66" s="84" t="s">
        <v>7</v>
      </c>
      <c r="C66" s="85">
        <v>0</v>
      </c>
      <c r="D66" s="85">
        <v>0</v>
      </c>
      <c r="E66" s="85">
        <v>0</v>
      </c>
      <c r="F66" s="85">
        <v>6.4137148983563943</v>
      </c>
      <c r="G66" s="85">
        <v>101.98935987358695</v>
      </c>
      <c r="H66" s="85">
        <v>27.304545161041894</v>
      </c>
      <c r="I66" s="85">
        <v>0</v>
      </c>
      <c r="J66" s="85">
        <v>0</v>
      </c>
      <c r="K66" s="85">
        <v>0</v>
      </c>
      <c r="L66" s="85">
        <v>0</v>
      </c>
      <c r="M66" s="85">
        <v>0</v>
      </c>
      <c r="N66" s="85">
        <v>0</v>
      </c>
      <c r="O66" s="85">
        <v>2.956307005974415</v>
      </c>
      <c r="P66" s="85">
        <v>0</v>
      </c>
      <c r="Q66" s="85">
        <v>0</v>
      </c>
      <c r="S66" s="86">
        <f t="shared" si="1"/>
        <v>138.66392693895966</v>
      </c>
    </row>
    <row r="67" spans="2:19" x14ac:dyDescent="0.3">
      <c r="B67" s="84" t="s">
        <v>60</v>
      </c>
      <c r="C67" s="85">
        <v>0</v>
      </c>
      <c r="D67" s="85">
        <v>0</v>
      </c>
      <c r="E67" s="85">
        <v>0</v>
      </c>
      <c r="F67" s="85">
        <v>0</v>
      </c>
      <c r="G67" s="85">
        <v>0</v>
      </c>
      <c r="H67" s="85">
        <v>127.11004573893921</v>
      </c>
      <c r="I67" s="85">
        <v>0</v>
      </c>
      <c r="J67" s="85">
        <v>0</v>
      </c>
      <c r="K67" s="85">
        <v>0</v>
      </c>
      <c r="L67" s="85">
        <v>0</v>
      </c>
      <c r="M67" s="85">
        <v>0</v>
      </c>
      <c r="N67" s="85">
        <v>0</v>
      </c>
      <c r="O67" s="85">
        <v>0</v>
      </c>
      <c r="P67" s="85">
        <v>0</v>
      </c>
      <c r="Q67" s="85">
        <v>0</v>
      </c>
      <c r="S67" s="86">
        <f t="shared" si="1"/>
        <v>127.11004573893921</v>
      </c>
    </row>
    <row r="68" spans="2:19" x14ac:dyDescent="0.3">
      <c r="B68" s="84" t="s">
        <v>10</v>
      </c>
      <c r="C68" s="85">
        <v>0</v>
      </c>
      <c r="D68" s="85">
        <v>0</v>
      </c>
      <c r="E68" s="85">
        <v>124.69189127274308</v>
      </c>
      <c r="F68" s="85">
        <v>0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0</v>
      </c>
      <c r="M68" s="85">
        <v>0</v>
      </c>
      <c r="N68" s="85">
        <v>0</v>
      </c>
      <c r="O68" s="85">
        <v>0</v>
      </c>
      <c r="P68" s="85">
        <v>0</v>
      </c>
      <c r="Q68" s="85">
        <v>0</v>
      </c>
      <c r="S68" s="86">
        <f t="shared" si="1"/>
        <v>124.69189127274308</v>
      </c>
    </row>
    <row r="69" spans="2:19" x14ac:dyDescent="0.3">
      <c r="B69" s="84" t="s">
        <v>42</v>
      </c>
      <c r="C69" s="85">
        <v>0</v>
      </c>
      <c r="D69" s="85">
        <v>0</v>
      </c>
      <c r="E69" s="85">
        <v>0</v>
      </c>
      <c r="F69" s="85">
        <v>0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0</v>
      </c>
      <c r="M69" s="85">
        <v>103.25017433237042</v>
      </c>
      <c r="N69" s="85">
        <v>0</v>
      </c>
      <c r="O69" s="85">
        <v>0</v>
      </c>
      <c r="P69" s="85">
        <v>0</v>
      </c>
      <c r="Q69" s="85">
        <v>0</v>
      </c>
      <c r="S69" s="86">
        <f t="shared" si="1"/>
        <v>103.25017433237042</v>
      </c>
    </row>
    <row r="70" spans="2:19" x14ac:dyDescent="0.3">
      <c r="B70" s="84" t="s">
        <v>12</v>
      </c>
      <c r="C70" s="85">
        <v>0</v>
      </c>
      <c r="D70" s="85">
        <v>0</v>
      </c>
      <c r="E70" s="85">
        <v>0</v>
      </c>
      <c r="F70" s="85">
        <v>0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102.50999999999998</v>
      </c>
      <c r="O70" s="85">
        <v>0</v>
      </c>
      <c r="P70" s="85">
        <v>0</v>
      </c>
      <c r="Q70" s="85">
        <v>0</v>
      </c>
      <c r="S70" s="86">
        <f t="shared" ref="S70:S103" si="2">SUM(C70:Q70)</f>
        <v>102.50999999999998</v>
      </c>
    </row>
    <row r="71" spans="2:19" x14ac:dyDescent="0.3">
      <c r="B71" s="84" t="s">
        <v>33</v>
      </c>
      <c r="C71" s="85">
        <v>0</v>
      </c>
      <c r="D71" s="85">
        <v>0</v>
      </c>
      <c r="E71" s="85">
        <v>0</v>
      </c>
      <c r="F71" s="85">
        <v>0</v>
      </c>
      <c r="G71" s="85">
        <v>0</v>
      </c>
      <c r="H71" s="85">
        <v>0</v>
      </c>
      <c r="I71" s="85">
        <v>100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S71" s="86">
        <f t="shared" si="2"/>
        <v>100</v>
      </c>
    </row>
    <row r="72" spans="2:19" x14ac:dyDescent="0.3">
      <c r="B72" s="84" t="s">
        <v>28</v>
      </c>
      <c r="C72" s="85">
        <v>0</v>
      </c>
      <c r="D72" s="85">
        <v>0</v>
      </c>
      <c r="E72" s="85">
        <v>0</v>
      </c>
      <c r="F72" s="85">
        <v>0</v>
      </c>
      <c r="G72" s="85">
        <v>0</v>
      </c>
      <c r="H72" s="85">
        <v>0</v>
      </c>
      <c r="I72" s="85">
        <v>101</v>
      </c>
      <c r="J72" s="85">
        <v>0</v>
      </c>
      <c r="K72" s="85">
        <v>0</v>
      </c>
      <c r="L72" s="85">
        <v>0</v>
      </c>
      <c r="M72" s="85">
        <v>0</v>
      </c>
      <c r="N72" s="85">
        <v>0</v>
      </c>
      <c r="O72" s="85">
        <v>0</v>
      </c>
      <c r="P72" s="85">
        <v>0</v>
      </c>
      <c r="Q72" s="85">
        <v>0</v>
      </c>
      <c r="S72" s="86">
        <f t="shared" si="2"/>
        <v>101</v>
      </c>
    </row>
    <row r="73" spans="2:19" x14ac:dyDescent="0.3">
      <c r="B73" s="84" t="s">
        <v>74</v>
      </c>
      <c r="C73" s="85">
        <v>0</v>
      </c>
      <c r="D73" s="85">
        <v>0</v>
      </c>
      <c r="E73" s="85">
        <v>0</v>
      </c>
      <c r="F73" s="85">
        <v>0</v>
      </c>
      <c r="G73" s="85">
        <v>0</v>
      </c>
      <c r="H73" s="85">
        <v>99.248352567300486</v>
      </c>
      <c r="I73" s="85">
        <v>0</v>
      </c>
      <c r="J73" s="85">
        <v>0</v>
      </c>
      <c r="K73" s="85">
        <v>0</v>
      </c>
      <c r="L73" s="85">
        <v>0</v>
      </c>
      <c r="M73" s="85">
        <v>0</v>
      </c>
      <c r="N73" s="85">
        <v>0</v>
      </c>
      <c r="O73" s="85">
        <v>0</v>
      </c>
      <c r="P73" s="85">
        <v>0</v>
      </c>
      <c r="Q73" s="85">
        <v>0</v>
      </c>
      <c r="S73" s="86">
        <f t="shared" si="2"/>
        <v>99.248352567300486</v>
      </c>
    </row>
    <row r="74" spans="2:19" x14ac:dyDescent="0.3">
      <c r="B74" s="84" t="s">
        <v>93</v>
      </c>
      <c r="C74" s="85">
        <v>0</v>
      </c>
      <c r="D74" s="85">
        <v>0</v>
      </c>
      <c r="E74" s="85">
        <v>0</v>
      </c>
      <c r="F74" s="85">
        <v>0</v>
      </c>
      <c r="G74" s="85">
        <v>90.999999999999972</v>
      </c>
      <c r="H74" s="85">
        <v>0</v>
      </c>
      <c r="I74" s="85">
        <v>0</v>
      </c>
      <c r="J74" s="85">
        <v>0</v>
      </c>
      <c r="K74" s="85">
        <v>0</v>
      </c>
      <c r="L74" s="85">
        <v>0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S74" s="86">
        <f t="shared" si="2"/>
        <v>90.999999999999972</v>
      </c>
    </row>
    <row r="75" spans="2:19" x14ac:dyDescent="0.3">
      <c r="B75" s="84" t="s">
        <v>76</v>
      </c>
      <c r="C75" s="85">
        <v>0</v>
      </c>
      <c r="D75" s="85">
        <v>0</v>
      </c>
      <c r="E75" s="85">
        <v>90.549995804129637</v>
      </c>
      <c r="F75" s="85">
        <v>0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</v>
      </c>
      <c r="N75" s="85">
        <v>0</v>
      </c>
      <c r="O75" s="85">
        <v>0</v>
      </c>
      <c r="P75" s="85">
        <v>0</v>
      </c>
      <c r="Q75" s="85">
        <v>0</v>
      </c>
      <c r="S75" s="86">
        <f t="shared" si="2"/>
        <v>90.549995804129637</v>
      </c>
    </row>
    <row r="76" spans="2:19" x14ac:dyDescent="0.3">
      <c r="B76" s="84" t="s">
        <v>22</v>
      </c>
      <c r="C76" s="85">
        <v>0</v>
      </c>
      <c r="D76" s="85">
        <v>0</v>
      </c>
      <c r="E76" s="85">
        <v>0</v>
      </c>
      <c r="F76" s="85">
        <v>0</v>
      </c>
      <c r="G76" s="85">
        <v>0</v>
      </c>
      <c r="H76" s="85">
        <v>0</v>
      </c>
      <c r="I76" s="85">
        <v>87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S76" s="86">
        <f t="shared" si="2"/>
        <v>87</v>
      </c>
    </row>
    <row r="77" spans="2:19" x14ac:dyDescent="0.3">
      <c r="B77" s="84" t="s">
        <v>86</v>
      </c>
      <c r="C77" s="85">
        <v>0</v>
      </c>
      <c r="D77" s="85">
        <v>0</v>
      </c>
      <c r="E77" s="85">
        <v>79.003266915287782</v>
      </c>
      <c r="F77" s="85">
        <v>0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S77" s="86">
        <f t="shared" si="2"/>
        <v>79.003266915287782</v>
      </c>
    </row>
    <row r="78" spans="2:19" x14ac:dyDescent="0.3">
      <c r="B78" s="84" t="s">
        <v>52</v>
      </c>
      <c r="C78" s="85">
        <v>0</v>
      </c>
      <c r="D78" s="85">
        <v>0</v>
      </c>
      <c r="E78" s="85">
        <v>0</v>
      </c>
      <c r="F78" s="85">
        <v>0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  <c r="O78" s="85">
        <v>0</v>
      </c>
      <c r="P78" s="85">
        <v>0</v>
      </c>
      <c r="Q78" s="85">
        <v>78</v>
      </c>
      <c r="S78" s="86">
        <f t="shared" si="2"/>
        <v>78</v>
      </c>
    </row>
    <row r="79" spans="2:19" x14ac:dyDescent="0.3">
      <c r="B79" s="84" t="s">
        <v>49</v>
      </c>
      <c r="C79" s="85">
        <v>0</v>
      </c>
      <c r="D79" s="85">
        <v>0</v>
      </c>
      <c r="E79" s="85">
        <v>0</v>
      </c>
      <c r="F79" s="85">
        <v>0</v>
      </c>
      <c r="G79" s="85">
        <v>0</v>
      </c>
      <c r="H79" s="85">
        <v>0</v>
      </c>
      <c r="I79" s="85">
        <v>0</v>
      </c>
      <c r="J79" s="85">
        <v>74.72999999999999</v>
      </c>
      <c r="K79" s="85">
        <v>0</v>
      </c>
      <c r="L79" s="85">
        <v>0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S79" s="86">
        <f t="shared" si="2"/>
        <v>74.72999999999999</v>
      </c>
    </row>
    <row r="80" spans="2:19" x14ac:dyDescent="0.3">
      <c r="B80" s="84" t="s">
        <v>3</v>
      </c>
      <c r="C80" s="85">
        <v>0</v>
      </c>
      <c r="D80" s="85">
        <v>0</v>
      </c>
      <c r="E80" s="85">
        <v>0</v>
      </c>
      <c r="F80" s="85">
        <v>0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74.439415340173298</v>
      </c>
      <c r="N80" s="85">
        <v>0</v>
      </c>
      <c r="O80" s="85">
        <v>0</v>
      </c>
      <c r="P80" s="85">
        <v>0</v>
      </c>
      <c r="Q80" s="85">
        <v>0</v>
      </c>
      <c r="S80" s="86">
        <f t="shared" si="2"/>
        <v>74.439415340173298</v>
      </c>
    </row>
    <row r="81" spans="2:19" x14ac:dyDescent="0.3">
      <c r="B81" s="84" t="s">
        <v>72</v>
      </c>
      <c r="C81" s="85">
        <v>0</v>
      </c>
      <c r="D81" s="85">
        <v>0</v>
      </c>
      <c r="E81" s="85">
        <v>0</v>
      </c>
      <c r="F81" s="85">
        <v>0</v>
      </c>
      <c r="G81" s="85">
        <v>72.81453599999999</v>
      </c>
      <c r="H81" s="85">
        <v>0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S81" s="86">
        <f t="shared" si="2"/>
        <v>72.81453599999999</v>
      </c>
    </row>
    <row r="82" spans="2:19" x14ac:dyDescent="0.3">
      <c r="B82" s="84" t="s">
        <v>67</v>
      </c>
      <c r="C82" s="85">
        <v>32.529167208356519</v>
      </c>
      <c r="D82" s="85">
        <v>0</v>
      </c>
      <c r="E82" s="85">
        <v>0</v>
      </c>
      <c r="F82" s="85">
        <v>0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37.440000000000005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S82" s="86">
        <f t="shared" si="2"/>
        <v>69.969167208356524</v>
      </c>
    </row>
    <row r="83" spans="2:19" x14ac:dyDescent="0.3">
      <c r="B83" s="84" t="s">
        <v>15</v>
      </c>
      <c r="C83" s="85">
        <v>0</v>
      </c>
      <c r="D83" s="85">
        <v>0</v>
      </c>
      <c r="E83" s="85">
        <v>0</v>
      </c>
      <c r="F83" s="85">
        <v>0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0</v>
      </c>
      <c r="M83" s="85">
        <v>63.837115179465798</v>
      </c>
      <c r="N83" s="85">
        <v>0</v>
      </c>
      <c r="O83" s="85">
        <v>0</v>
      </c>
      <c r="P83" s="85">
        <v>0</v>
      </c>
      <c r="Q83" s="85">
        <v>0</v>
      </c>
      <c r="S83" s="86">
        <f t="shared" si="2"/>
        <v>63.837115179465798</v>
      </c>
    </row>
    <row r="84" spans="2:19" x14ac:dyDescent="0.3">
      <c r="B84" s="84" t="s">
        <v>88</v>
      </c>
      <c r="C84" s="85">
        <v>0</v>
      </c>
      <c r="D84" s="85">
        <v>0</v>
      </c>
      <c r="E84" s="85">
        <v>0</v>
      </c>
      <c r="F84" s="85">
        <v>0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0</v>
      </c>
      <c r="M84" s="85">
        <v>60.885230360283437</v>
      </c>
      <c r="N84" s="85">
        <v>0</v>
      </c>
      <c r="O84" s="85">
        <v>0</v>
      </c>
      <c r="P84" s="85">
        <v>0</v>
      </c>
      <c r="Q84" s="85">
        <v>0</v>
      </c>
      <c r="S84" s="86">
        <f t="shared" si="2"/>
        <v>60.885230360283437</v>
      </c>
    </row>
    <row r="85" spans="2:19" x14ac:dyDescent="0.3">
      <c r="B85" s="84" t="s">
        <v>36</v>
      </c>
      <c r="C85" s="85">
        <v>0</v>
      </c>
      <c r="D85" s="85">
        <v>0</v>
      </c>
      <c r="E85" s="85">
        <v>0</v>
      </c>
      <c r="F85" s="85">
        <v>0</v>
      </c>
      <c r="G85" s="85">
        <v>0</v>
      </c>
      <c r="H85" s="85">
        <v>0</v>
      </c>
      <c r="I85" s="85">
        <v>0</v>
      </c>
      <c r="J85" s="85">
        <v>0</v>
      </c>
      <c r="K85" s="85">
        <v>57.119999999999983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S85" s="86">
        <f t="shared" si="2"/>
        <v>57.119999999999983</v>
      </c>
    </row>
    <row r="86" spans="2:19" ht="28.8" x14ac:dyDescent="0.3">
      <c r="B86" s="84" t="s">
        <v>31</v>
      </c>
      <c r="C86" s="85">
        <v>0</v>
      </c>
      <c r="D86" s="85">
        <v>0</v>
      </c>
      <c r="E86" s="85">
        <v>0</v>
      </c>
      <c r="F86" s="85">
        <v>0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54.000000000000007</v>
      </c>
      <c r="O86" s="85">
        <v>0</v>
      </c>
      <c r="P86" s="85">
        <v>0</v>
      </c>
      <c r="Q86" s="85">
        <v>0</v>
      </c>
      <c r="S86" s="86">
        <f t="shared" si="2"/>
        <v>54.000000000000007</v>
      </c>
    </row>
    <row r="87" spans="2:19" x14ac:dyDescent="0.3">
      <c r="B87" s="84" t="s">
        <v>5</v>
      </c>
      <c r="C87" s="85">
        <v>0</v>
      </c>
      <c r="D87" s="85">
        <v>0</v>
      </c>
      <c r="E87" s="85">
        <v>0</v>
      </c>
      <c r="F87" s="85">
        <v>0</v>
      </c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0</v>
      </c>
      <c r="M87" s="85">
        <v>51.285169535112537</v>
      </c>
      <c r="N87" s="85">
        <v>0</v>
      </c>
      <c r="O87" s="85">
        <v>0</v>
      </c>
      <c r="P87" s="85">
        <v>0</v>
      </c>
      <c r="Q87" s="85">
        <v>0</v>
      </c>
      <c r="S87" s="86">
        <f t="shared" si="2"/>
        <v>51.285169535112537</v>
      </c>
    </row>
    <row r="88" spans="2:19" x14ac:dyDescent="0.3">
      <c r="B88" s="84" t="s">
        <v>27</v>
      </c>
      <c r="C88" s="85">
        <v>0</v>
      </c>
      <c r="D88" s="85">
        <v>0</v>
      </c>
      <c r="E88" s="85">
        <v>0</v>
      </c>
      <c r="F88" s="85">
        <v>0</v>
      </c>
      <c r="G88" s="85">
        <v>0</v>
      </c>
      <c r="H88" s="85">
        <v>0</v>
      </c>
      <c r="I88" s="85">
        <v>0</v>
      </c>
      <c r="J88" s="85">
        <v>0</v>
      </c>
      <c r="K88" s="85">
        <v>43</v>
      </c>
      <c r="L88" s="85">
        <v>0</v>
      </c>
      <c r="M88" s="85">
        <v>0</v>
      </c>
      <c r="N88" s="85">
        <v>0</v>
      </c>
      <c r="O88" s="85">
        <v>0</v>
      </c>
      <c r="P88" s="85">
        <v>0</v>
      </c>
      <c r="Q88" s="85">
        <v>0</v>
      </c>
      <c r="S88" s="86">
        <f t="shared" si="2"/>
        <v>43</v>
      </c>
    </row>
    <row r="89" spans="2:19" x14ac:dyDescent="0.3">
      <c r="B89" s="84" t="s">
        <v>17</v>
      </c>
      <c r="C89" s="85">
        <v>0</v>
      </c>
      <c r="D89" s="85">
        <v>27.372865243036955</v>
      </c>
      <c r="E89" s="85">
        <v>0</v>
      </c>
      <c r="F89" s="85">
        <v>0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  <c r="O89" s="85">
        <v>0</v>
      </c>
      <c r="P89" s="85">
        <v>0</v>
      </c>
      <c r="Q89" s="85">
        <v>15</v>
      </c>
      <c r="S89" s="86">
        <f t="shared" si="2"/>
        <v>42.372865243036955</v>
      </c>
    </row>
    <row r="90" spans="2:19" x14ac:dyDescent="0.3">
      <c r="B90" s="84" t="s">
        <v>54</v>
      </c>
      <c r="C90" s="85">
        <v>0</v>
      </c>
      <c r="D90" s="85">
        <v>0</v>
      </c>
      <c r="E90" s="85">
        <v>0</v>
      </c>
      <c r="F90" s="85">
        <v>0</v>
      </c>
      <c r="G90" s="85">
        <v>0</v>
      </c>
      <c r="H90" s="85">
        <v>0</v>
      </c>
      <c r="I90" s="85">
        <v>0</v>
      </c>
      <c r="J90" s="85">
        <v>0</v>
      </c>
      <c r="K90" s="85">
        <v>41.291711999999997</v>
      </c>
      <c r="L90" s="85">
        <v>0</v>
      </c>
      <c r="M90" s="85">
        <v>0</v>
      </c>
      <c r="N90" s="85">
        <v>0</v>
      </c>
      <c r="O90" s="85">
        <v>0</v>
      </c>
      <c r="P90" s="85">
        <v>0</v>
      </c>
      <c r="Q90" s="85">
        <v>0</v>
      </c>
      <c r="S90" s="86">
        <f t="shared" si="2"/>
        <v>41.291711999999997</v>
      </c>
    </row>
    <row r="91" spans="2:19" x14ac:dyDescent="0.3">
      <c r="B91" s="84" t="s">
        <v>4</v>
      </c>
      <c r="C91" s="85">
        <v>0</v>
      </c>
      <c r="D91" s="85">
        <v>0.17319177527439231</v>
      </c>
      <c r="E91" s="85">
        <v>38.279099982419062</v>
      </c>
      <c r="F91" s="85">
        <v>0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0</v>
      </c>
      <c r="S91" s="86">
        <f t="shared" si="2"/>
        <v>38.452291757693452</v>
      </c>
    </row>
    <row r="92" spans="2:19" x14ac:dyDescent="0.3">
      <c r="B92" s="84" t="s">
        <v>29</v>
      </c>
      <c r="C92" s="85">
        <v>0</v>
      </c>
      <c r="D92" s="85">
        <v>0</v>
      </c>
      <c r="E92" s="85">
        <v>0</v>
      </c>
      <c r="F92" s="85">
        <v>0</v>
      </c>
      <c r="G92" s="85">
        <v>0</v>
      </c>
      <c r="H92" s="85">
        <v>0</v>
      </c>
      <c r="I92" s="85">
        <v>0</v>
      </c>
      <c r="J92" s="85">
        <v>0</v>
      </c>
      <c r="K92" s="85">
        <v>0</v>
      </c>
      <c r="L92" s="85">
        <v>0</v>
      </c>
      <c r="M92" s="85">
        <v>0</v>
      </c>
      <c r="N92" s="85">
        <v>35.904000000000003</v>
      </c>
      <c r="O92" s="85">
        <v>0</v>
      </c>
      <c r="P92" s="85">
        <v>0</v>
      </c>
      <c r="Q92" s="85">
        <v>0</v>
      </c>
      <c r="S92" s="86">
        <f t="shared" si="2"/>
        <v>35.904000000000003</v>
      </c>
    </row>
    <row r="93" spans="2:19" x14ac:dyDescent="0.3">
      <c r="B93" s="84" t="s">
        <v>11</v>
      </c>
      <c r="C93" s="85">
        <v>0</v>
      </c>
      <c r="D93" s="85">
        <v>0</v>
      </c>
      <c r="E93" s="85">
        <v>0</v>
      </c>
      <c r="F93" s="85">
        <v>0</v>
      </c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35.583390227700491</v>
      </c>
      <c r="M93" s="85">
        <v>0</v>
      </c>
      <c r="N93" s="85">
        <v>0</v>
      </c>
      <c r="O93" s="85">
        <v>0</v>
      </c>
      <c r="P93" s="85">
        <v>0</v>
      </c>
      <c r="Q93" s="85">
        <v>0</v>
      </c>
      <c r="S93" s="86">
        <f t="shared" si="2"/>
        <v>35.583390227700491</v>
      </c>
    </row>
    <row r="94" spans="2:19" x14ac:dyDescent="0.3">
      <c r="B94" s="84" t="s">
        <v>18</v>
      </c>
      <c r="C94" s="85">
        <v>0</v>
      </c>
      <c r="D94" s="85">
        <v>0</v>
      </c>
      <c r="E94" s="85">
        <v>0</v>
      </c>
      <c r="F94" s="85">
        <v>0</v>
      </c>
      <c r="G94" s="85">
        <v>28.999999999999996</v>
      </c>
      <c r="H94" s="85">
        <v>0</v>
      </c>
      <c r="I94" s="85">
        <v>0</v>
      </c>
      <c r="J94" s="85">
        <v>0</v>
      </c>
      <c r="K94" s="85">
        <v>0</v>
      </c>
      <c r="L94" s="85">
        <v>0</v>
      </c>
      <c r="M94" s="85">
        <v>0</v>
      </c>
      <c r="N94" s="85">
        <v>0</v>
      </c>
      <c r="O94" s="85">
        <v>0</v>
      </c>
      <c r="P94" s="85">
        <v>0</v>
      </c>
      <c r="Q94" s="85">
        <v>0</v>
      </c>
      <c r="S94" s="86">
        <f t="shared" si="2"/>
        <v>28.999999999999996</v>
      </c>
    </row>
    <row r="95" spans="2:19" x14ac:dyDescent="0.3">
      <c r="B95" s="84" t="s">
        <v>78</v>
      </c>
      <c r="C95" s="85">
        <v>0</v>
      </c>
      <c r="D95" s="85">
        <v>26.469579118320926</v>
      </c>
      <c r="E95" s="85">
        <v>0</v>
      </c>
      <c r="F95" s="85">
        <v>0</v>
      </c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2</v>
      </c>
      <c r="M95" s="85">
        <v>0</v>
      </c>
      <c r="N95" s="85">
        <v>0</v>
      </c>
      <c r="O95" s="85">
        <v>0</v>
      </c>
      <c r="P95" s="85">
        <v>0</v>
      </c>
      <c r="Q95" s="85">
        <v>0</v>
      </c>
      <c r="S95" s="86">
        <f t="shared" si="2"/>
        <v>28.469579118320926</v>
      </c>
    </row>
    <row r="96" spans="2:19" x14ac:dyDescent="0.3">
      <c r="B96" s="84" t="s">
        <v>63</v>
      </c>
      <c r="C96" s="85">
        <v>0</v>
      </c>
      <c r="D96" s="85">
        <v>0</v>
      </c>
      <c r="E96" s="85">
        <v>0</v>
      </c>
      <c r="F96" s="85">
        <v>0</v>
      </c>
      <c r="G96" s="85">
        <v>0</v>
      </c>
      <c r="H96" s="85">
        <v>0</v>
      </c>
      <c r="I96" s="85">
        <v>0</v>
      </c>
      <c r="J96" s="85">
        <v>0</v>
      </c>
      <c r="K96" s="85">
        <v>27</v>
      </c>
      <c r="L96" s="85">
        <v>0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S96" s="86">
        <f t="shared" si="2"/>
        <v>27</v>
      </c>
    </row>
    <row r="97" spans="2:19" x14ac:dyDescent="0.3">
      <c r="B97" s="84" t="s">
        <v>6</v>
      </c>
      <c r="C97" s="85">
        <v>0</v>
      </c>
      <c r="D97" s="85">
        <v>0</v>
      </c>
      <c r="E97" s="85">
        <v>0</v>
      </c>
      <c r="F97" s="85">
        <v>0</v>
      </c>
      <c r="G97" s="85">
        <v>0</v>
      </c>
      <c r="H97" s="85">
        <v>0</v>
      </c>
      <c r="I97" s="85">
        <v>0</v>
      </c>
      <c r="J97" s="85">
        <v>0</v>
      </c>
      <c r="K97" s="85">
        <v>17</v>
      </c>
      <c r="L97" s="85">
        <v>0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S97" s="86">
        <f t="shared" si="2"/>
        <v>17</v>
      </c>
    </row>
    <row r="98" spans="2:19" x14ac:dyDescent="0.3">
      <c r="B98" s="84" t="s">
        <v>13</v>
      </c>
      <c r="C98" s="85">
        <v>0</v>
      </c>
      <c r="D98" s="85">
        <v>9.6629912888098524</v>
      </c>
      <c r="E98" s="85">
        <v>9.1411089865880317</v>
      </c>
      <c r="F98" s="85">
        <v>0</v>
      </c>
      <c r="G98" s="85">
        <v>0</v>
      </c>
      <c r="H98" s="85">
        <v>0</v>
      </c>
      <c r="I98" s="85">
        <v>0</v>
      </c>
      <c r="J98" s="85">
        <v>0</v>
      </c>
      <c r="K98" s="85">
        <v>0</v>
      </c>
      <c r="L98" s="85">
        <v>0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S98" s="86">
        <f t="shared" si="2"/>
        <v>18.804100275397886</v>
      </c>
    </row>
    <row r="99" spans="2:19" x14ac:dyDescent="0.3">
      <c r="B99" s="84" t="s">
        <v>89</v>
      </c>
      <c r="C99" s="85">
        <v>0</v>
      </c>
      <c r="D99" s="85">
        <v>11.964854982656959</v>
      </c>
      <c r="E99" s="85">
        <v>0</v>
      </c>
      <c r="F99" s="85">
        <v>0</v>
      </c>
      <c r="G99" s="85">
        <v>0</v>
      </c>
      <c r="H99" s="85">
        <v>0</v>
      </c>
      <c r="I99" s="85">
        <v>0</v>
      </c>
      <c r="J99" s="85">
        <v>0</v>
      </c>
      <c r="K99" s="85">
        <v>0</v>
      </c>
      <c r="L99" s="85">
        <v>0</v>
      </c>
      <c r="M99" s="85">
        <v>6.0833661067164719</v>
      </c>
      <c r="N99" s="85">
        <v>0</v>
      </c>
      <c r="O99" s="85">
        <v>0</v>
      </c>
      <c r="P99" s="85">
        <v>0</v>
      </c>
      <c r="Q99" s="85">
        <v>0</v>
      </c>
      <c r="S99" s="86">
        <f t="shared" si="2"/>
        <v>18.048221089373431</v>
      </c>
    </row>
    <row r="100" spans="2:19" x14ac:dyDescent="0.3">
      <c r="B100" s="84" t="s">
        <v>80</v>
      </c>
      <c r="C100" s="85">
        <v>0</v>
      </c>
      <c r="D100" s="85">
        <v>0</v>
      </c>
      <c r="E100" s="85">
        <v>0</v>
      </c>
      <c r="F100" s="85">
        <v>0</v>
      </c>
      <c r="G100" s="85">
        <v>0</v>
      </c>
      <c r="H100" s="85">
        <v>0</v>
      </c>
      <c r="I100" s="85">
        <v>0</v>
      </c>
      <c r="J100" s="85">
        <v>0</v>
      </c>
      <c r="K100" s="85">
        <v>0</v>
      </c>
      <c r="L100" s="85">
        <v>0</v>
      </c>
      <c r="M100" s="85">
        <v>0</v>
      </c>
      <c r="N100" s="85">
        <v>0</v>
      </c>
      <c r="O100" s="85">
        <v>0</v>
      </c>
      <c r="P100" s="85">
        <v>0</v>
      </c>
      <c r="Q100" s="85">
        <v>12</v>
      </c>
      <c r="S100" s="86">
        <f t="shared" si="2"/>
        <v>12</v>
      </c>
    </row>
    <row r="101" spans="2:19" x14ac:dyDescent="0.3">
      <c r="B101" s="84" t="s">
        <v>46</v>
      </c>
      <c r="C101" s="85">
        <v>0</v>
      </c>
      <c r="D101" s="85">
        <v>0</v>
      </c>
      <c r="E101" s="85">
        <v>0</v>
      </c>
      <c r="F101" s="85">
        <v>0</v>
      </c>
      <c r="G101" s="85">
        <v>0</v>
      </c>
      <c r="H101" s="85">
        <v>0</v>
      </c>
      <c r="I101" s="85">
        <v>0</v>
      </c>
      <c r="J101" s="85">
        <v>0</v>
      </c>
      <c r="K101" s="85">
        <v>0</v>
      </c>
      <c r="L101" s="85">
        <v>10.1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S101" s="86">
        <f t="shared" si="2"/>
        <v>10.1</v>
      </c>
    </row>
    <row r="102" spans="2:19" x14ac:dyDescent="0.3">
      <c r="B102" s="84" t="s">
        <v>37</v>
      </c>
      <c r="C102" s="85">
        <v>0</v>
      </c>
      <c r="D102" s="85">
        <v>0</v>
      </c>
      <c r="E102" s="85">
        <v>0</v>
      </c>
      <c r="F102" s="85">
        <v>0</v>
      </c>
      <c r="G102" s="85">
        <v>0</v>
      </c>
      <c r="H102" s="85">
        <v>0</v>
      </c>
      <c r="I102" s="85">
        <v>0</v>
      </c>
      <c r="J102" s="85">
        <v>0</v>
      </c>
      <c r="K102" s="85">
        <v>0</v>
      </c>
      <c r="L102" s="85">
        <v>6.67</v>
      </c>
      <c r="M102" s="85">
        <v>0</v>
      </c>
      <c r="N102" s="85">
        <v>0</v>
      </c>
      <c r="O102" s="85">
        <v>0</v>
      </c>
      <c r="P102" s="85">
        <v>0</v>
      </c>
      <c r="Q102" s="85">
        <v>0</v>
      </c>
      <c r="S102" s="86">
        <f t="shared" si="2"/>
        <v>6.67</v>
      </c>
    </row>
    <row r="103" spans="2:19" x14ac:dyDescent="0.3">
      <c r="B103" s="84" t="s">
        <v>98</v>
      </c>
      <c r="C103" s="85">
        <v>1211.2863789643889</v>
      </c>
      <c r="D103" s="85">
        <v>1125.0055999762208</v>
      </c>
      <c r="E103" s="85">
        <v>6505.8809963546073</v>
      </c>
      <c r="F103" s="85">
        <v>1468.3967408353274</v>
      </c>
      <c r="G103" s="85">
        <v>1100.3489774479749</v>
      </c>
      <c r="H103" s="85">
        <v>1240.1344188680541</v>
      </c>
      <c r="I103" s="85">
        <v>434</v>
      </c>
      <c r="J103" s="85">
        <v>1688.2466588480875</v>
      </c>
      <c r="K103" s="85">
        <v>1833.8682213679213</v>
      </c>
      <c r="L103" s="85">
        <v>476.97302158215189</v>
      </c>
      <c r="M103" s="85">
        <v>1218.3765126811336</v>
      </c>
      <c r="N103" s="85">
        <v>2243.2768176965551</v>
      </c>
      <c r="O103" s="85">
        <v>200.23043632612325</v>
      </c>
      <c r="P103" s="85">
        <v>317.55907099999968</v>
      </c>
      <c r="Q103" s="85">
        <v>673</v>
      </c>
      <c r="S103" s="86">
        <f t="shared" si="2"/>
        <v>21736.583851948544</v>
      </c>
    </row>
    <row r="104" spans="2:19" x14ac:dyDescent="0.3">
      <c r="S104" s="86">
        <f>SUM(S5:S103)</f>
        <v>104991.77507061884</v>
      </c>
    </row>
    <row r="105" spans="2:19" x14ac:dyDescent="0.3">
      <c r="C105" s="86">
        <f>SUM(C5:C103)</f>
        <v>13521.007657986298</v>
      </c>
      <c r="D105" s="86">
        <f t="shared" ref="D105:Q105" si="3">SUM(D5:D103)</f>
        <v>12691.362228587663</v>
      </c>
      <c r="E105" s="86">
        <f t="shared" si="3"/>
        <v>11505.799358349952</v>
      </c>
      <c r="F105" s="86">
        <f t="shared" si="3"/>
        <v>10855.840249567398</v>
      </c>
      <c r="G105" s="86">
        <f t="shared" si="3"/>
        <v>9626.0129582374084</v>
      </c>
      <c r="H105" s="86">
        <f t="shared" si="3"/>
        <v>7144.0655628347986</v>
      </c>
      <c r="I105" s="86">
        <f t="shared" si="3"/>
        <v>6406</v>
      </c>
      <c r="J105" s="86">
        <f t="shared" si="3"/>
        <v>6391.2041525622644</v>
      </c>
      <c r="K105" s="86">
        <f t="shared" si="3"/>
        <v>5959.2517960930054</v>
      </c>
      <c r="L105" s="86">
        <f t="shared" si="3"/>
        <v>5588.124369909001</v>
      </c>
      <c r="M105" s="86">
        <f t="shared" si="3"/>
        <v>4487.5245838988549</v>
      </c>
      <c r="N105" s="86">
        <f t="shared" si="3"/>
        <v>3742.4235602827639</v>
      </c>
      <c r="O105" s="86">
        <f t="shared" si="3"/>
        <v>2838.4562714859776</v>
      </c>
      <c r="P105" s="86">
        <f t="shared" si="3"/>
        <v>2371.7023208234741</v>
      </c>
      <c r="Q105" s="86">
        <f t="shared" si="3"/>
        <v>1863</v>
      </c>
    </row>
  </sheetData>
  <pageMargins left="0.19685039370078741" right="0.19685039370078741" top="0.39370078740157483" bottom="0.39370078740157483" header="0.19685039370078741" footer="0.19685039370078741"/>
  <pageSetup paperSize="9" scale="98" fitToHeight="0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theme="1"/>
    <pageSetUpPr fitToPage="1"/>
  </sheetPr>
  <dimension ref="A1:U103"/>
  <sheetViews>
    <sheetView showGridLines="0" zoomScale="80" zoomScaleNormal="80" workbookViewId="0">
      <selection activeCell="K9" sqref="K9"/>
    </sheetView>
  </sheetViews>
  <sheetFormatPr baseColWidth="10" defaultColWidth="10.6640625" defaultRowHeight="15" customHeight="1" x14ac:dyDescent="0.3"/>
  <cols>
    <col min="1" max="1" width="4.44140625" style="15" customWidth="1"/>
    <col min="2" max="2" width="8.6640625" style="15" customWidth="1"/>
    <col min="3" max="3" width="29" style="15" bestFit="1" customWidth="1"/>
    <col min="4" max="4" width="7.33203125" style="15" bestFit="1" customWidth="1"/>
    <col min="5" max="6" width="7.6640625" style="15" customWidth="1"/>
    <col min="7" max="7" width="28.6640625" style="15" bestFit="1" customWidth="1"/>
    <col min="8" max="8" width="16" style="15" bestFit="1" customWidth="1"/>
    <col min="9" max="9" width="10.6640625" style="15"/>
    <col min="10" max="10" width="17.44140625" style="15" bestFit="1" customWidth="1"/>
    <col min="11" max="13" width="16.109375" style="15" customWidth="1"/>
    <col min="14" max="16384" width="10.6640625" style="15"/>
  </cols>
  <sheetData>
    <row r="1" spans="1:21" s="10" customFormat="1" ht="15" customHeight="1" x14ac:dyDescent="0.3">
      <c r="A1" s="9">
        <v>0.03</v>
      </c>
      <c r="B1" s="10" t="s">
        <v>117</v>
      </c>
      <c r="C1" s="10" t="s">
        <v>118</v>
      </c>
      <c r="D1" s="11" t="s">
        <v>136</v>
      </c>
      <c r="E1" s="10">
        <v>39</v>
      </c>
      <c r="F1" s="10">
        <v>26</v>
      </c>
      <c r="G1" s="11">
        <v>1.8</v>
      </c>
      <c r="H1" s="10">
        <v>27.516999999999999</v>
      </c>
      <c r="I1" s="10">
        <v>19.05</v>
      </c>
      <c r="J1" s="10" t="s">
        <v>143</v>
      </c>
      <c r="K1" s="1" t="s">
        <v>159</v>
      </c>
      <c r="L1" s="1"/>
    </row>
    <row r="2" spans="1:21" s="10" customFormat="1" ht="30" customHeight="1" thickBot="1" x14ac:dyDescent="0.35">
      <c r="B2" s="12" t="s">
        <v>135</v>
      </c>
      <c r="C2" s="12"/>
      <c r="D2" s="12"/>
      <c r="E2" s="13"/>
      <c r="F2" s="14"/>
      <c r="G2" s="13"/>
      <c r="H2" s="14"/>
      <c r="O2" s="10" t="s">
        <v>147</v>
      </c>
    </row>
    <row r="3" spans="1:21" s="10" customFormat="1" ht="15" customHeight="1" x14ac:dyDescent="0.3">
      <c r="E3" s="11"/>
      <c r="G3" s="11"/>
    </row>
    <row r="4" spans="1:21" ht="28.8" x14ac:dyDescent="0.3">
      <c r="B4" s="16" t="s">
        <v>119</v>
      </c>
      <c r="C4" s="15" t="s">
        <v>138</v>
      </c>
      <c r="D4" s="17" t="s">
        <v>134</v>
      </c>
      <c r="E4" s="15" t="s">
        <v>137</v>
      </c>
      <c r="G4" s="15" t="s">
        <v>139</v>
      </c>
      <c r="H4" s="15" t="s">
        <v>140</v>
      </c>
      <c r="I4" s="15" t="s">
        <v>142</v>
      </c>
      <c r="J4" s="15" t="s">
        <v>160</v>
      </c>
      <c r="K4" s="15" t="s">
        <v>162</v>
      </c>
      <c r="L4" s="15" t="s">
        <v>161</v>
      </c>
      <c r="N4" s="91" t="s">
        <v>120</v>
      </c>
      <c r="O4" s="91"/>
      <c r="P4" s="91"/>
      <c r="Q4" s="91"/>
      <c r="R4" s="91"/>
      <c r="S4" s="91"/>
    </row>
    <row r="5" spans="1:21" ht="15" customHeight="1" x14ac:dyDescent="0.3">
      <c r="B5" s="18" t="s">
        <v>121</v>
      </c>
      <c r="C5" s="15" t="str">
        <f>'Filter C-P'!B5</f>
        <v>Turck</v>
      </c>
      <c r="D5" s="17" t="str">
        <f>getRGB1(B5)</f>
        <v>FFFFFF</v>
      </c>
      <c r="E5" s="15" t="str">
        <f>LEFT(C5,3)</f>
        <v>Tur</v>
      </c>
      <c r="G5" s="15" t="str">
        <f>'Filter C-P'!C4</f>
        <v>01- DCS</v>
      </c>
      <c r="H5" s="15" t="str">
        <f>RIGHT(G5,LEN(G5)-4)</f>
        <v>DCS</v>
      </c>
      <c r="I5" s="15" t="str">
        <f>LEFT(H5,3)</f>
        <v>DCS</v>
      </c>
      <c r="J5" s="89"/>
      <c r="K5" s="15" t="s">
        <v>164</v>
      </c>
      <c r="L5" s="17" t="str">
        <f>getRGB1(J5)</f>
        <v>808080</v>
      </c>
      <c r="N5" s="19" t="s">
        <v>121</v>
      </c>
      <c r="O5" s="20" t="s">
        <v>121</v>
      </c>
      <c r="P5" s="21" t="s">
        <v>121</v>
      </c>
      <c r="Q5" s="22" t="s">
        <v>121</v>
      </c>
      <c r="R5" s="23" t="s">
        <v>121</v>
      </c>
      <c r="S5" s="24" t="s">
        <v>121</v>
      </c>
      <c r="U5" s="18" t="s">
        <v>121</v>
      </c>
    </row>
    <row r="6" spans="1:21" ht="15" customHeight="1" x14ac:dyDescent="0.3">
      <c r="B6" s="38" t="s">
        <v>121</v>
      </c>
      <c r="C6" s="15" t="str">
        <f>'Filter C-P'!B6</f>
        <v>Heidenhain</v>
      </c>
      <c r="D6" s="17" t="str">
        <f t="shared" ref="D6:D69" si="0">getRGB1(B6)</f>
        <v>5AAE61</v>
      </c>
      <c r="E6" s="15" t="str">
        <f t="shared" ref="E6:E69" si="1">LEFT(C6,3)</f>
        <v>Hei</v>
      </c>
      <c r="G6" s="15" t="str">
        <f>'Filter C-P'!D4</f>
        <v>03-2 PLC</v>
      </c>
      <c r="H6" s="15" t="str">
        <f>RIGHT(G6,LEN(G6)-5)</f>
        <v>PLC</v>
      </c>
      <c r="I6" s="15" t="str">
        <f t="shared" ref="I6:I19" si="2">LEFT(H6,3)</f>
        <v>PLC</v>
      </c>
      <c r="J6" s="88"/>
      <c r="K6" s="15" t="s">
        <v>165</v>
      </c>
      <c r="L6" s="17" t="str">
        <f>getRGB1(J6)</f>
        <v>FFFFFF</v>
      </c>
      <c r="N6" s="26" t="s">
        <v>121</v>
      </c>
      <c r="O6" s="27" t="s">
        <v>121</v>
      </c>
      <c r="P6" s="28" t="s">
        <v>121</v>
      </c>
      <c r="Q6" s="29" t="s">
        <v>121</v>
      </c>
      <c r="R6" s="30" t="s">
        <v>121</v>
      </c>
      <c r="S6" s="31" t="s">
        <v>121</v>
      </c>
      <c r="U6" s="25" t="s">
        <v>121</v>
      </c>
    </row>
    <row r="7" spans="1:21" ht="15" customHeight="1" x14ac:dyDescent="0.3">
      <c r="B7" s="45" t="s">
        <v>121</v>
      </c>
      <c r="C7" s="15" t="str">
        <f>'Filter C-P'!B7</f>
        <v>M-System</v>
      </c>
      <c r="D7" s="17" t="str">
        <f t="shared" si="0"/>
        <v>FFFFFF</v>
      </c>
      <c r="E7" s="15" t="str">
        <f t="shared" si="1"/>
        <v>M-S</v>
      </c>
      <c r="G7" s="15" t="str">
        <f>'Filter C-P'!E4</f>
        <v>04- C&amp;S + Safety</v>
      </c>
      <c r="H7" s="15" t="str">
        <f t="shared" ref="H7:H18" si="3">RIGHT(G7,LEN(G7)-4)</f>
        <v>C&amp;S + Safety</v>
      </c>
      <c r="I7" s="15" t="str">
        <f t="shared" si="2"/>
        <v>C&amp;S</v>
      </c>
      <c r="J7" s="90"/>
      <c r="K7" s="15" t="s">
        <v>166</v>
      </c>
      <c r="L7" s="17" t="str">
        <f>getRGB1(J7)</f>
        <v>404040</v>
      </c>
      <c r="N7" s="32" t="s">
        <v>121</v>
      </c>
      <c r="O7" s="33" t="s">
        <v>121</v>
      </c>
      <c r="P7" s="34" t="s">
        <v>121</v>
      </c>
      <c r="Q7" s="35" t="s">
        <v>121</v>
      </c>
      <c r="R7" s="36" t="s">
        <v>121</v>
      </c>
      <c r="S7" s="37" t="s">
        <v>121</v>
      </c>
      <c r="U7" s="25" t="s">
        <v>121</v>
      </c>
    </row>
    <row r="8" spans="1:21" ht="15" customHeight="1" x14ac:dyDescent="0.3">
      <c r="B8" s="45" t="s">
        <v>121</v>
      </c>
      <c r="C8" s="15" t="str">
        <f>'Filter C-P'!B8</f>
        <v>Hyosung Power and Industrial S</v>
      </c>
      <c r="D8" s="17" t="str">
        <f t="shared" si="0"/>
        <v>FFFFFF</v>
      </c>
      <c r="E8" s="15" t="str">
        <f t="shared" si="1"/>
        <v>Hyo</v>
      </c>
      <c r="G8" s="15" t="str">
        <f>'Filter C-P'!F4</f>
        <v>02-2 Drives LV</v>
      </c>
      <c r="H8" s="15" t="str">
        <f>RIGHT(G8,LEN(G8)-5)</f>
        <v>Drives LV</v>
      </c>
      <c r="I8" s="15" t="s">
        <v>150</v>
      </c>
      <c r="J8" s="90"/>
      <c r="K8" s="15" t="s">
        <v>167</v>
      </c>
      <c r="L8" s="17" t="str">
        <f>getRGB1(J8)</f>
        <v>404040</v>
      </c>
      <c r="N8" s="39" t="s">
        <v>121</v>
      </c>
      <c r="O8" s="40" t="s">
        <v>121</v>
      </c>
      <c r="P8" s="41" t="s">
        <v>121</v>
      </c>
      <c r="Q8" s="42" t="s">
        <v>121</v>
      </c>
      <c r="R8" s="43" t="s">
        <v>121</v>
      </c>
      <c r="S8" s="44" t="s">
        <v>121</v>
      </c>
      <c r="U8" s="38" t="s">
        <v>121</v>
      </c>
    </row>
    <row r="9" spans="1:21" ht="15" customHeight="1" x14ac:dyDescent="0.3">
      <c r="B9" s="45" t="s">
        <v>121</v>
      </c>
      <c r="C9" s="15" t="str">
        <f>'Filter C-P'!B9</f>
        <v>Yokogawa</v>
      </c>
      <c r="D9" s="17" t="str">
        <f t="shared" si="0"/>
        <v>FFFFFF</v>
      </c>
      <c r="E9" s="15" t="str">
        <f t="shared" si="1"/>
        <v>Yok</v>
      </c>
      <c r="G9" s="15" t="str">
        <f>'Filter C-P'!G4</f>
        <v>02-1 Motor Starters &amp; Contactors</v>
      </c>
      <c r="H9" s="87" t="s">
        <v>141</v>
      </c>
      <c r="I9" s="15" t="s">
        <v>151</v>
      </c>
      <c r="N9" s="46" t="s">
        <v>121</v>
      </c>
      <c r="O9" s="47" t="s">
        <v>121</v>
      </c>
      <c r="P9" s="48" t="s">
        <v>121</v>
      </c>
      <c r="Q9" s="49" t="s">
        <v>121</v>
      </c>
      <c r="R9" s="50" t="s">
        <v>121</v>
      </c>
      <c r="S9" s="51" t="s">
        <v>121</v>
      </c>
      <c r="U9" s="45" t="s">
        <v>121</v>
      </c>
    </row>
    <row r="10" spans="1:21" ht="15" customHeight="1" x14ac:dyDescent="0.3">
      <c r="B10" s="45" t="s">
        <v>121</v>
      </c>
      <c r="C10" s="15" t="str">
        <f>'Filter C-P'!B10</f>
        <v>ABB</v>
      </c>
      <c r="D10" s="17" t="str">
        <f t="shared" si="0"/>
        <v>FFFFFF</v>
      </c>
      <c r="E10" s="15" t="str">
        <f t="shared" si="1"/>
        <v>ABB</v>
      </c>
      <c r="G10" s="15" t="str">
        <f>'Filter C-P'!H4</f>
        <v>02-3 Motion</v>
      </c>
      <c r="H10" s="15" t="str">
        <f>RIGHT(G10,LEN(G10)-5)</f>
        <v>Motion</v>
      </c>
      <c r="I10" s="15" t="str">
        <f t="shared" si="2"/>
        <v>Mot</v>
      </c>
      <c r="N10" s="52" t="s">
        <v>121</v>
      </c>
      <c r="O10" s="53" t="s">
        <v>121</v>
      </c>
      <c r="P10" s="54" t="s">
        <v>121</v>
      </c>
      <c r="Q10" s="55" t="s">
        <v>121</v>
      </c>
      <c r="R10" s="56" t="s">
        <v>121</v>
      </c>
      <c r="S10" s="57" t="s">
        <v>121</v>
      </c>
      <c r="U10" s="45" t="s">
        <v>121</v>
      </c>
    </row>
    <row r="11" spans="1:21" ht="15" customHeight="1" x14ac:dyDescent="0.3">
      <c r="B11" s="45" t="s">
        <v>121</v>
      </c>
      <c r="C11" s="15" t="str">
        <f>'Filter C-P'!B11</f>
        <v>Omron</v>
      </c>
      <c r="D11" s="17" t="str">
        <f t="shared" si="0"/>
        <v>FFFFFF</v>
      </c>
      <c r="E11" s="15" t="str">
        <f t="shared" si="1"/>
        <v>Omr</v>
      </c>
      <c r="G11" s="15" t="str">
        <f>'Filter C-P'!I4</f>
        <v>03-3 CNC</v>
      </c>
      <c r="H11" s="15" t="str">
        <f>RIGHT(G11,LEN(G11)-5)</f>
        <v>CNC</v>
      </c>
      <c r="I11" s="15" t="str">
        <f t="shared" si="2"/>
        <v>CNC</v>
      </c>
      <c r="N11" s="58" t="s">
        <v>121</v>
      </c>
      <c r="O11" s="59" t="s">
        <v>121</v>
      </c>
      <c r="P11" s="60" t="s">
        <v>121</v>
      </c>
      <c r="Q11" s="61" t="s">
        <v>121</v>
      </c>
      <c r="R11" s="62" t="s">
        <v>121</v>
      </c>
      <c r="S11" s="63" t="s">
        <v>121</v>
      </c>
      <c r="U11" s="45" t="s">
        <v>121</v>
      </c>
    </row>
    <row r="12" spans="1:21" ht="15" customHeight="1" x14ac:dyDescent="0.3">
      <c r="B12" s="25" t="s">
        <v>121</v>
      </c>
      <c r="C12" s="15" t="str">
        <f>'Filter C-P'!B12</f>
        <v>Hitachi</v>
      </c>
      <c r="D12" s="17" t="str">
        <f t="shared" si="0"/>
        <v>FFFFFF</v>
      </c>
      <c r="E12" s="15" t="str">
        <f t="shared" si="1"/>
        <v>Hit</v>
      </c>
      <c r="G12" s="15" t="str">
        <f>'Filter C-P'!J4</f>
        <v>01- Control Valves</v>
      </c>
      <c r="H12" s="15" t="str">
        <f t="shared" si="3"/>
        <v>Control Valves</v>
      </c>
      <c r="I12" s="15" t="s">
        <v>152</v>
      </c>
      <c r="N12" s="64" t="s">
        <v>121</v>
      </c>
      <c r="O12" s="65" t="s">
        <v>121</v>
      </c>
      <c r="P12" s="66" t="s">
        <v>121</v>
      </c>
      <c r="Q12" s="67" t="s">
        <v>121</v>
      </c>
      <c r="R12" s="68" t="s">
        <v>121</v>
      </c>
      <c r="S12" s="69" t="s">
        <v>121</v>
      </c>
      <c r="U12" s="25" t="s">
        <v>121</v>
      </c>
    </row>
    <row r="13" spans="1:21" ht="15" customHeight="1" x14ac:dyDescent="0.3">
      <c r="B13" s="25" t="s">
        <v>121</v>
      </c>
      <c r="C13" s="15" t="str">
        <f>'Filter C-P'!B13</f>
        <v>Optex</v>
      </c>
      <c r="D13" s="17" t="str">
        <f t="shared" si="0"/>
        <v>FFFFFF</v>
      </c>
      <c r="E13" s="15" t="str">
        <f t="shared" si="1"/>
        <v>Opt</v>
      </c>
      <c r="G13" s="15" t="str">
        <f>'Filter C-P'!K4</f>
        <v>04- Sensors</v>
      </c>
      <c r="H13" s="15" t="str">
        <f t="shared" si="3"/>
        <v>Sensors</v>
      </c>
      <c r="I13" s="15" t="str">
        <f t="shared" si="2"/>
        <v>Sen</v>
      </c>
      <c r="N13" s="70" t="s">
        <v>121</v>
      </c>
      <c r="O13" s="71" t="s">
        <v>121</v>
      </c>
      <c r="P13" s="72" t="s">
        <v>121</v>
      </c>
      <c r="Q13" s="73" t="s">
        <v>121</v>
      </c>
      <c r="R13" s="74" t="s">
        <v>121</v>
      </c>
      <c r="S13" s="75" t="s">
        <v>121</v>
      </c>
      <c r="U13" s="25" t="s">
        <v>121</v>
      </c>
    </row>
    <row r="14" spans="1:21" ht="15" customHeight="1" x14ac:dyDescent="0.3">
      <c r="B14" s="45" t="s">
        <v>121</v>
      </c>
      <c r="C14" s="15" t="str">
        <f>'Filter C-P'!B14</f>
        <v>Metso Automation</v>
      </c>
      <c r="D14" s="17" t="str">
        <f t="shared" si="0"/>
        <v>FFFFFF</v>
      </c>
      <c r="E14" s="15" t="str">
        <f t="shared" si="1"/>
        <v>Met</v>
      </c>
      <c r="G14" s="15" t="str">
        <f>'Filter C-P'!L4</f>
        <v>01- Instruments</v>
      </c>
      <c r="H14" s="15" t="str">
        <f t="shared" si="3"/>
        <v>Instruments</v>
      </c>
      <c r="I14" s="15" t="str">
        <f t="shared" si="2"/>
        <v>Ins</v>
      </c>
      <c r="N14" s="76" t="s">
        <v>121</v>
      </c>
      <c r="O14" s="77" t="s">
        <v>121</v>
      </c>
      <c r="P14" s="78" t="s">
        <v>121</v>
      </c>
      <c r="Q14" s="79" t="s">
        <v>121</v>
      </c>
      <c r="R14" s="80" t="s">
        <v>121</v>
      </c>
      <c r="S14" s="81" t="s">
        <v>121</v>
      </c>
      <c r="U14" s="82" t="s">
        <v>121</v>
      </c>
    </row>
    <row r="15" spans="1:21" ht="15" customHeight="1" x14ac:dyDescent="0.3">
      <c r="B15" s="45" t="s">
        <v>121</v>
      </c>
      <c r="C15" s="15" t="str">
        <f>'Filter C-P'!B15</f>
        <v>Beckhoff</v>
      </c>
      <c r="D15" s="17" t="str">
        <f t="shared" si="0"/>
        <v>FFFFFF</v>
      </c>
      <c r="E15" s="15" t="str">
        <f t="shared" si="1"/>
        <v>Bec</v>
      </c>
      <c r="G15" s="15" t="str">
        <f>'Filter C-P'!M4</f>
        <v>03-1 OP &amp; IPC</v>
      </c>
      <c r="H15" s="15" t="str">
        <f>RIGHT(G15,LEN(G15)-5)</f>
        <v>OP &amp; IPC</v>
      </c>
      <c r="I15" s="15" t="s">
        <v>153</v>
      </c>
    </row>
    <row r="16" spans="1:21" ht="15" customHeight="1" x14ac:dyDescent="0.3">
      <c r="B16" s="45" t="s">
        <v>121</v>
      </c>
      <c r="C16" s="15" t="str">
        <f>'Filter C-P'!B16</f>
        <v>Endress+Hauser</v>
      </c>
      <c r="D16" s="17" t="str">
        <f t="shared" si="0"/>
        <v>FFFFFF</v>
      </c>
      <c r="E16" s="15" t="str">
        <f t="shared" si="1"/>
        <v>End</v>
      </c>
      <c r="G16" s="15" t="str">
        <f>'Filter C-P'!N4</f>
        <v>01- Analyzers</v>
      </c>
      <c r="H16" s="15" t="str">
        <f t="shared" si="3"/>
        <v>Analyzers</v>
      </c>
      <c r="I16" s="15" t="s">
        <v>154</v>
      </c>
    </row>
    <row r="17" spans="2:9" ht="15" customHeight="1" x14ac:dyDescent="0.3">
      <c r="B17" s="45" t="s">
        <v>121</v>
      </c>
      <c r="C17" s="15" t="str">
        <f>'Filter C-P'!B17</f>
        <v>Parker Industrial</v>
      </c>
      <c r="D17" s="17" t="str">
        <f t="shared" si="0"/>
        <v>FFFFFF</v>
      </c>
      <c r="E17" s="15" t="str">
        <f t="shared" si="1"/>
        <v>Par</v>
      </c>
      <c r="G17" s="15" t="str">
        <f>'Filter C-P'!O4</f>
        <v>02-2 Drives MV</v>
      </c>
      <c r="H17" s="15" t="str">
        <f>RIGHT(G17,LEN(G17)-5)</f>
        <v>Drives MV</v>
      </c>
      <c r="I17" s="15" t="s">
        <v>155</v>
      </c>
    </row>
    <row r="18" spans="2:9" ht="15" customHeight="1" x14ac:dyDescent="0.3">
      <c r="B18" s="45" t="s">
        <v>121</v>
      </c>
      <c r="C18" s="15" t="str">
        <f>'Filter C-P'!B18</f>
        <v>Mitsubishi Electric</v>
      </c>
      <c r="D18" s="17" t="str">
        <f t="shared" si="0"/>
        <v>FFFFFF</v>
      </c>
      <c r="E18" s="15" t="str">
        <f t="shared" si="1"/>
        <v>Mit</v>
      </c>
      <c r="G18" s="15" t="str">
        <f>'Filter C-P'!P4</f>
        <v>01- Safety Systems</v>
      </c>
      <c r="H18" s="15" t="str">
        <f t="shared" si="3"/>
        <v>Safety Systems</v>
      </c>
      <c r="I18" s="15" t="s">
        <v>156</v>
      </c>
    </row>
    <row r="19" spans="2:9" ht="15" customHeight="1" x14ac:dyDescent="0.3">
      <c r="B19" s="45" t="s">
        <v>121</v>
      </c>
      <c r="C19" s="15" t="str">
        <f>'Filter C-P'!B19</f>
        <v>Keyence</v>
      </c>
      <c r="D19" s="17" t="str">
        <f t="shared" si="0"/>
        <v>FFFFFF</v>
      </c>
      <c r="E19" s="15" t="str">
        <f t="shared" si="1"/>
        <v>Key</v>
      </c>
      <c r="G19" s="15" t="str">
        <f>'Filter C-P'!Q4</f>
        <v>03-3 Vision</v>
      </c>
      <c r="H19" s="15" t="str">
        <f>RIGHT(G19,LEN(G19)-5)</f>
        <v>Vision</v>
      </c>
      <c r="I19" s="15" t="str">
        <f t="shared" si="2"/>
        <v>Vis</v>
      </c>
    </row>
    <row r="20" spans="2:9" ht="15" customHeight="1" x14ac:dyDescent="0.3">
      <c r="B20" s="45" t="s">
        <v>121</v>
      </c>
      <c r="C20" s="15" t="str">
        <f>'Filter C-P'!B20</f>
        <v>Sunx</v>
      </c>
      <c r="D20" s="17" t="str">
        <f t="shared" si="0"/>
        <v>FFFFFF</v>
      </c>
      <c r="E20" s="15" t="str">
        <f t="shared" si="1"/>
        <v>Sun</v>
      </c>
    </row>
    <row r="21" spans="2:9" ht="15" customHeight="1" x14ac:dyDescent="0.3">
      <c r="B21" s="45" t="s">
        <v>121</v>
      </c>
      <c r="C21" s="15" t="str">
        <f>'Filter C-P'!B21</f>
        <v>Wika</v>
      </c>
      <c r="D21" s="17" t="str">
        <f t="shared" si="0"/>
        <v>FFFFFF</v>
      </c>
      <c r="E21" s="15" t="str">
        <f t="shared" si="1"/>
        <v>Wik</v>
      </c>
    </row>
    <row r="22" spans="2:9" ht="15" customHeight="1" x14ac:dyDescent="0.3">
      <c r="B22" s="45" t="s">
        <v>121</v>
      </c>
      <c r="C22" s="15" t="str">
        <f>'Filter C-P'!B22</f>
        <v>Moore Industries</v>
      </c>
      <c r="D22" s="17" t="str">
        <f t="shared" si="0"/>
        <v>FFFFFF</v>
      </c>
      <c r="E22" s="15" t="str">
        <f t="shared" si="1"/>
        <v>Moo</v>
      </c>
    </row>
    <row r="23" spans="2:9" ht="15" customHeight="1" x14ac:dyDescent="0.3">
      <c r="B23" s="25" t="s">
        <v>121</v>
      </c>
      <c r="C23" s="15" t="str">
        <f>'Filter C-P'!B23</f>
        <v>Rockwell Automation</v>
      </c>
      <c r="D23" s="17" t="str">
        <f t="shared" si="0"/>
        <v>FFFFFF</v>
      </c>
      <c r="E23" s="15" t="str">
        <f t="shared" si="1"/>
        <v>Roc</v>
      </c>
    </row>
    <row r="24" spans="2:9" ht="15" customHeight="1" x14ac:dyDescent="0.3">
      <c r="B24" s="45" t="s">
        <v>121</v>
      </c>
      <c r="C24" s="15" t="str">
        <f>'Filter C-P'!B24</f>
        <v>Delta Electronics</v>
      </c>
      <c r="D24" s="17" t="str">
        <f t="shared" si="0"/>
        <v>FFFFFF</v>
      </c>
      <c r="E24" s="15" t="str">
        <f t="shared" si="1"/>
        <v>Del</v>
      </c>
    </row>
    <row r="25" spans="2:9" ht="15" customHeight="1" x14ac:dyDescent="0.3">
      <c r="B25" s="45" t="s">
        <v>121</v>
      </c>
      <c r="C25" s="15" t="str">
        <f>'Filter C-P'!B25</f>
        <v>Fuji Electric</v>
      </c>
      <c r="D25" s="17" t="str">
        <f t="shared" si="0"/>
        <v>FFFFFF</v>
      </c>
      <c r="E25" s="15" t="str">
        <f t="shared" si="1"/>
        <v>Fuj</v>
      </c>
    </row>
    <row r="26" spans="2:9" ht="15" customHeight="1" x14ac:dyDescent="0.3">
      <c r="B26" s="45" t="s">
        <v>121</v>
      </c>
      <c r="C26" s="15" t="str">
        <f>'Filter C-P'!B26</f>
        <v>Emerson Process Management</v>
      </c>
      <c r="D26" s="17" t="str">
        <f t="shared" si="0"/>
        <v>FFFFFF</v>
      </c>
      <c r="E26" s="15" t="str">
        <f t="shared" si="1"/>
        <v>Eme</v>
      </c>
    </row>
    <row r="27" spans="2:9" ht="15" customHeight="1" x14ac:dyDescent="0.3">
      <c r="B27" s="45" t="s">
        <v>121</v>
      </c>
      <c r="C27" s="15" t="str">
        <f>'Filter C-P'!B27</f>
        <v>Haas</v>
      </c>
      <c r="D27" s="17" t="str">
        <f t="shared" si="0"/>
        <v>FFFFFF</v>
      </c>
      <c r="E27" s="15" t="str">
        <f t="shared" si="1"/>
        <v>Haa</v>
      </c>
    </row>
    <row r="28" spans="2:9" ht="15" customHeight="1" x14ac:dyDescent="0.3">
      <c r="B28" s="25" t="s">
        <v>121</v>
      </c>
      <c r="C28" s="15" t="str">
        <f>'Filter C-P'!B28</f>
        <v>Festo</v>
      </c>
      <c r="D28" s="17" t="str">
        <f t="shared" si="0"/>
        <v>FFFFFF</v>
      </c>
      <c r="E28" s="15" t="str">
        <f t="shared" si="1"/>
        <v>Fes</v>
      </c>
    </row>
    <row r="29" spans="2:9" ht="15" customHeight="1" x14ac:dyDescent="0.3">
      <c r="B29" s="25" t="s">
        <v>121</v>
      </c>
      <c r="C29" s="15" t="str">
        <f>'Filter C-P'!B29</f>
        <v>Advantech</v>
      </c>
      <c r="D29" s="17" t="str">
        <f t="shared" si="0"/>
        <v>FFFFFF</v>
      </c>
      <c r="E29" s="15" t="str">
        <f t="shared" si="1"/>
        <v>Adv</v>
      </c>
    </row>
    <row r="30" spans="2:9" ht="15" customHeight="1" x14ac:dyDescent="0.3">
      <c r="B30" s="45" t="s">
        <v>121</v>
      </c>
      <c r="C30" s="15" t="str">
        <f>'Filter C-P'!B30</f>
        <v>Moog</v>
      </c>
      <c r="D30" s="17" t="str">
        <f t="shared" si="0"/>
        <v>FFFFFF</v>
      </c>
      <c r="E30" s="15" t="str">
        <f t="shared" si="1"/>
        <v>Moo</v>
      </c>
    </row>
    <row r="31" spans="2:9" ht="15" customHeight="1" x14ac:dyDescent="0.3">
      <c r="B31" s="45" t="s">
        <v>121</v>
      </c>
      <c r="C31" s="15" t="str">
        <f>'Filter C-P'!B31</f>
        <v>DKK-TOA Corporation</v>
      </c>
      <c r="D31" s="17" t="str">
        <f t="shared" si="0"/>
        <v>FFFFFF</v>
      </c>
      <c r="E31" s="15" t="str">
        <f t="shared" si="1"/>
        <v>DKK</v>
      </c>
    </row>
    <row r="32" spans="2:9" ht="15" customHeight="1" x14ac:dyDescent="0.3">
      <c r="B32" s="45" t="s">
        <v>121</v>
      </c>
      <c r="C32" s="15" t="str">
        <f>'Filter C-P'!B32</f>
        <v>Pentair</v>
      </c>
      <c r="D32" s="17" t="str">
        <f t="shared" si="0"/>
        <v>FFFFFF</v>
      </c>
      <c r="E32" s="15" t="str">
        <f t="shared" si="1"/>
        <v>Pen</v>
      </c>
    </row>
    <row r="33" spans="2:5" ht="15" customHeight="1" x14ac:dyDescent="0.3">
      <c r="B33" s="45" t="s">
        <v>121</v>
      </c>
      <c r="C33" s="15" t="str">
        <f>'Filter C-P'!B33</f>
        <v>Idec</v>
      </c>
      <c r="D33" s="17" t="str">
        <f t="shared" si="0"/>
        <v>FFFFFF</v>
      </c>
      <c r="E33" s="15" t="str">
        <f t="shared" si="1"/>
        <v>Ide</v>
      </c>
    </row>
    <row r="34" spans="2:5" ht="15" customHeight="1" x14ac:dyDescent="0.3">
      <c r="B34" s="45" t="s">
        <v>121</v>
      </c>
      <c r="C34" s="15" t="str">
        <f>'Filter C-P'!B34</f>
        <v>Danfoss</v>
      </c>
      <c r="D34" s="17" t="str">
        <f t="shared" si="0"/>
        <v>FFFFFF</v>
      </c>
      <c r="E34" s="15" t="str">
        <f t="shared" si="1"/>
        <v>Dan</v>
      </c>
    </row>
    <row r="35" spans="2:5" ht="15" customHeight="1" x14ac:dyDescent="0.3">
      <c r="B35" s="45" t="s">
        <v>121</v>
      </c>
      <c r="C35" s="15" t="str">
        <f>'Filter C-P'!B35</f>
        <v>Zebra Technologies</v>
      </c>
      <c r="D35" s="17" t="str">
        <f t="shared" si="0"/>
        <v>FFFFFF</v>
      </c>
      <c r="E35" s="15" t="str">
        <f t="shared" si="1"/>
        <v>Zeb</v>
      </c>
    </row>
    <row r="36" spans="2:5" ht="15" customHeight="1" x14ac:dyDescent="0.3">
      <c r="B36" s="45" t="s">
        <v>121</v>
      </c>
      <c r="C36" s="15" t="str">
        <f>'Filter C-P'!B36</f>
        <v>Cognex</v>
      </c>
      <c r="D36" s="17" t="str">
        <f t="shared" si="0"/>
        <v>FFFFFF</v>
      </c>
      <c r="E36" s="15" t="str">
        <f t="shared" si="1"/>
        <v>Cog</v>
      </c>
    </row>
    <row r="37" spans="2:5" ht="15" customHeight="1" x14ac:dyDescent="0.3">
      <c r="B37" s="45" t="s">
        <v>121</v>
      </c>
      <c r="C37" s="15" t="str">
        <f>'Filter C-P'!B37</f>
        <v>Baumer</v>
      </c>
      <c r="D37" s="17" t="str">
        <f t="shared" si="0"/>
        <v>FFFFFF</v>
      </c>
      <c r="E37" s="15" t="str">
        <f t="shared" si="1"/>
        <v>Bau</v>
      </c>
    </row>
    <row r="38" spans="2:5" ht="15" customHeight="1" x14ac:dyDescent="0.3">
      <c r="B38" s="45" t="s">
        <v>121</v>
      </c>
      <c r="C38" s="15" t="str">
        <f>'Filter C-P'!B38</f>
        <v>Hokuyo</v>
      </c>
      <c r="D38" s="17" t="str">
        <f t="shared" si="0"/>
        <v>FFFFFF</v>
      </c>
      <c r="E38" s="15" t="str">
        <f t="shared" si="1"/>
        <v>Hok</v>
      </c>
    </row>
    <row r="39" spans="2:5" ht="15" customHeight="1" x14ac:dyDescent="0.3">
      <c r="B39" s="45" t="s">
        <v>121</v>
      </c>
      <c r="C39" s="15" t="str">
        <f>'Filter C-P'!B39</f>
        <v>Phoenix Contact</v>
      </c>
      <c r="D39" s="17" t="str">
        <f t="shared" si="0"/>
        <v>FFFFFF</v>
      </c>
      <c r="E39" s="15" t="str">
        <f t="shared" si="1"/>
        <v>Pho</v>
      </c>
    </row>
    <row r="40" spans="2:5" ht="15" customHeight="1" x14ac:dyDescent="0.3">
      <c r="B40" s="45" t="s">
        <v>121</v>
      </c>
      <c r="C40" s="15" t="str">
        <f>'Filter C-P'!B40</f>
        <v>Emerson Electric</v>
      </c>
      <c r="D40" s="17" t="str">
        <f t="shared" si="0"/>
        <v>FFFFFF</v>
      </c>
      <c r="E40" s="15" t="str">
        <f t="shared" si="1"/>
        <v>Eme</v>
      </c>
    </row>
    <row r="41" spans="2:5" ht="15" customHeight="1" x14ac:dyDescent="0.3">
      <c r="B41" s="45" t="s">
        <v>121</v>
      </c>
      <c r="C41" s="15" t="str">
        <f>'Filter C-P'!B41</f>
        <v>Kontron</v>
      </c>
      <c r="D41" s="17" t="str">
        <f t="shared" si="0"/>
        <v>FFFFFF</v>
      </c>
      <c r="E41" s="15" t="str">
        <f t="shared" si="1"/>
        <v>Kon</v>
      </c>
    </row>
    <row r="42" spans="2:5" ht="15" customHeight="1" x14ac:dyDescent="0.3">
      <c r="B42" s="45" t="s">
        <v>121</v>
      </c>
      <c r="C42" s="15" t="str">
        <f>'Filter C-P'!B42</f>
        <v>Oriental Motor</v>
      </c>
      <c r="D42" s="17" t="str">
        <f t="shared" si="0"/>
        <v>FFFFFF</v>
      </c>
      <c r="E42" s="15" t="str">
        <f t="shared" si="1"/>
        <v>Ori</v>
      </c>
    </row>
    <row r="43" spans="2:5" ht="15" customHeight="1" x14ac:dyDescent="0.3">
      <c r="B43" s="45" t="s">
        <v>121</v>
      </c>
      <c r="C43" s="15" t="str">
        <f>'Filter C-P'!B43</f>
        <v>Lenze</v>
      </c>
      <c r="D43" s="17" t="str">
        <f t="shared" si="0"/>
        <v>FFFFFF</v>
      </c>
      <c r="E43" s="15" t="str">
        <f t="shared" si="1"/>
        <v>Len</v>
      </c>
    </row>
    <row r="44" spans="2:5" ht="15" customHeight="1" x14ac:dyDescent="0.3">
      <c r="B44" s="45" t="s">
        <v>121</v>
      </c>
      <c r="C44" s="15" t="str">
        <f>'Filter C-P'!B44</f>
        <v>Powell Industries</v>
      </c>
      <c r="D44" s="17" t="str">
        <f t="shared" si="0"/>
        <v>FFFFFF</v>
      </c>
      <c r="E44" s="15" t="str">
        <f t="shared" si="1"/>
        <v>Pow</v>
      </c>
    </row>
    <row r="45" spans="2:5" ht="15" customHeight="1" x14ac:dyDescent="0.3">
      <c r="B45" s="45" t="s">
        <v>121</v>
      </c>
      <c r="C45" s="15" t="str">
        <f>'Filter C-P'!B45</f>
        <v>Horiba Analytical</v>
      </c>
      <c r="D45" s="17" t="str">
        <f t="shared" si="0"/>
        <v>FFFFFF</v>
      </c>
      <c r="E45" s="15" t="str">
        <f t="shared" si="1"/>
        <v>Hor</v>
      </c>
    </row>
    <row r="46" spans="2:5" ht="15" customHeight="1" x14ac:dyDescent="0.3">
      <c r="B46" s="45" t="s">
        <v>121</v>
      </c>
      <c r="C46" s="15" t="str">
        <f>'Filter C-P'!B46</f>
        <v>Contec</v>
      </c>
      <c r="D46" s="17" t="str">
        <f t="shared" si="0"/>
        <v>FFFFFF</v>
      </c>
      <c r="E46" s="15" t="str">
        <f t="shared" si="1"/>
        <v>Con</v>
      </c>
    </row>
    <row r="47" spans="2:5" ht="15" customHeight="1" x14ac:dyDescent="0.3">
      <c r="B47" s="45" t="s">
        <v>121</v>
      </c>
      <c r="C47" s="15" t="str">
        <f>'Filter C-P'!B47</f>
        <v>Altus</v>
      </c>
      <c r="D47" s="17" t="str">
        <f t="shared" si="0"/>
        <v>FFFFFF</v>
      </c>
      <c r="E47" s="15" t="str">
        <f t="shared" si="1"/>
        <v>Alt</v>
      </c>
    </row>
    <row r="48" spans="2:5" ht="15" customHeight="1" x14ac:dyDescent="0.3">
      <c r="B48" s="45" t="s">
        <v>121</v>
      </c>
      <c r="C48" s="15" t="str">
        <f>'Filter C-P'!B48</f>
        <v>HIMA</v>
      </c>
      <c r="D48" s="17" t="str">
        <f t="shared" si="0"/>
        <v>FFFFFF</v>
      </c>
      <c r="E48" s="15" t="str">
        <f t="shared" si="1"/>
        <v>HIM</v>
      </c>
    </row>
    <row r="49" spans="2:5" ht="15" customHeight="1" x14ac:dyDescent="0.3">
      <c r="B49" s="45" t="s">
        <v>121</v>
      </c>
      <c r="C49" s="15" t="str">
        <f>'Filter C-P'!B49</f>
        <v>GSK CNC EQUIPMENT</v>
      </c>
      <c r="D49" s="17" t="str">
        <f t="shared" si="0"/>
        <v>FFFFFF</v>
      </c>
      <c r="E49" s="15" t="str">
        <f t="shared" si="1"/>
        <v>GSK</v>
      </c>
    </row>
    <row r="50" spans="2:5" ht="15" customHeight="1" x14ac:dyDescent="0.3">
      <c r="B50" s="45" t="s">
        <v>121</v>
      </c>
      <c r="C50" s="15" t="str">
        <f>'Filter C-P'!B50</f>
        <v>Leuze</v>
      </c>
      <c r="D50" s="17" t="str">
        <f t="shared" si="0"/>
        <v>FFFFFF</v>
      </c>
      <c r="E50" s="15" t="str">
        <f t="shared" si="1"/>
        <v>Leu</v>
      </c>
    </row>
    <row r="51" spans="2:5" ht="15" customHeight="1" x14ac:dyDescent="0.3">
      <c r="B51" s="45" t="s">
        <v>121</v>
      </c>
      <c r="C51" s="15" t="str">
        <f>'Filter C-P'!B51</f>
        <v>Pepperl+Fuchs</v>
      </c>
      <c r="D51" s="17" t="str">
        <f t="shared" si="0"/>
        <v>FFFFFF</v>
      </c>
      <c r="E51" s="15" t="str">
        <f t="shared" si="1"/>
        <v>Pep</v>
      </c>
    </row>
    <row r="52" spans="2:5" ht="15" customHeight="1" x14ac:dyDescent="0.3">
      <c r="B52" s="45" t="s">
        <v>121</v>
      </c>
      <c r="C52" s="15" t="str">
        <f>'Filter C-P'!B52</f>
        <v>Yaskawa</v>
      </c>
      <c r="D52" s="17" t="str">
        <f t="shared" si="0"/>
        <v>FFFFFF</v>
      </c>
      <c r="E52" s="15" t="str">
        <f t="shared" si="1"/>
        <v>Yas</v>
      </c>
    </row>
    <row r="53" spans="2:5" ht="15" customHeight="1" x14ac:dyDescent="0.3">
      <c r="B53" s="45" t="s">
        <v>121</v>
      </c>
      <c r="C53" s="15" t="str">
        <f>'Filter C-P'!B53</f>
        <v>Siemens</v>
      </c>
      <c r="D53" s="17" t="str">
        <f t="shared" si="0"/>
        <v>FFFFFF</v>
      </c>
      <c r="E53" s="15" t="str">
        <f t="shared" si="1"/>
        <v>Sie</v>
      </c>
    </row>
    <row r="54" spans="2:5" ht="15" customHeight="1" x14ac:dyDescent="0.3">
      <c r="B54" s="45" t="s">
        <v>121</v>
      </c>
      <c r="C54" s="15" t="str">
        <f>'Filter C-P'!B54</f>
        <v>SPX Valves &amp; Controls</v>
      </c>
      <c r="D54" s="17" t="str">
        <f t="shared" si="0"/>
        <v>FFFFFF</v>
      </c>
      <c r="E54" s="15" t="str">
        <f t="shared" si="1"/>
        <v>SPX</v>
      </c>
    </row>
    <row r="55" spans="2:5" ht="15" customHeight="1" x14ac:dyDescent="0.3">
      <c r="B55" s="45" t="s">
        <v>121</v>
      </c>
      <c r="C55" s="15" t="str">
        <f>'Filter C-P'!B55</f>
        <v>Weg</v>
      </c>
      <c r="D55" s="17" t="str">
        <f t="shared" si="0"/>
        <v>FFFFFF</v>
      </c>
      <c r="E55" s="15" t="str">
        <f t="shared" si="1"/>
        <v>Weg</v>
      </c>
    </row>
    <row r="56" spans="2:5" ht="15" customHeight="1" x14ac:dyDescent="0.3">
      <c r="B56" s="45" t="s">
        <v>121</v>
      </c>
      <c r="C56" s="15" t="str">
        <f>'Filter C-P'!B56</f>
        <v>Schneider Electric</v>
      </c>
      <c r="D56" s="17" t="str">
        <f t="shared" si="0"/>
        <v>FFFFFF</v>
      </c>
      <c r="E56" s="15" t="str">
        <f t="shared" si="1"/>
        <v>Sch</v>
      </c>
    </row>
    <row r="57" spans="2:5" ht="15" customHeight="1" x14ac:dyDescent="0.3">
      <c r="B57" s="45" t="s">
        <v>121</v>
      </c>
      <c r="C57" s="15" t="str">
        <f>'Filter C-P'!B57</f>
        <v>Euchner</v>
      </c>
      <c r="D57" s="17" t="str">
        <f t="shared" si="0"/>
        <v>FFFFFF</v>
      </c>
      <c r="E57" s="15" t="str">
        <f t="shared" si="1"/>
        <v>Euc</v>
      </c>
    </row>
    <row r="58" spans="2:5" ht="15" customHeight="1" x14ac:dyDescent="0.3">
      <c r="B58" s="45" t="s">
        <v>121</v>
      </c>
      <c r="C58" s="15" t="str">
        <f>'Filter C-P'!B58</f>
        <v>Tamagawa Seiki</v>
      </c>
      <c r="D58" s="17" t="str">
        <f t="shared" si="0"/>
        <v>FFFFFF</v>
      </c>
      <c r="E58" s="15" t="str">
        <f t="shared" si="1"/>
        <v>Tam</v>
      </c>
    </row>
    <row r="59" spans="2:5" ht="15" customHeight="1" x14ac:dyDescent="0.3">
      <c r="B59" s="45" t="s">
        <v>121</v>
      </c>
      <c r="C59" s="15" t="str">
        <f>'Filter C-P'!B59</f>
        <v>Nihon Koso</v>
      </c>
      <c r="D59" s="17" t="str">
        <f t="shared" si="0"/>
        <v>FFFFFF</v>
      </c>
      <c r="E59" s="15" t="str">
        <f t="shared" si="1"/>
        <v>Nih</v>
      </c>
    </row>
    <row r="60" spans="2:5" ht="15" customHeight="1" x14ac:dyDescent="0.3">
      <c r="B60" s="45" t="s">
        <v>121</v>
      </c>
      <c r="C60" s="15" t="str">
        <f>'Filter C-P'!B60</f>
        <v>National Instruments</v>
      </c>
      <c r="D60" s="17" t="str">
        <f t="shared" si="0"/>
        <v>FFFFFF</v>
      </c>
      <c r="E60" s="15" t="str">
        <f t="shared" si="1"/>
        <v>Nat</v>
      </c>
    </row>
    <row r="61" spans="2:5" ht="15" customHeight="1" x14ac:dyDescent="0.3">
      <c r="B61" s="45" t="s">
        <v>121</v>
      </c>
      <c r="C61" s="15" t="str">
        <f>'Filter C-P'!B61</f>
        <v>Smar</v>
      </c>
      <c r="D61" s="17" t="str">
        <f t="shared" si="0"/>
        <v>FFFFFF</v>
      </c>
      <c r="E61" s="15" t="str">
        <f t="shared" si="1"/>
        <v>Sma</v>
      </c>
    </row>
    <row r="62" spans="2:5" ht="15" customHeight="1" x14ac:dyDescent="0.3">
      <c r="B62" s="45" t="s">
        <v>121</v>
      </c>
      <c r="C62" s="15" t="str">
        <f>'Filter C-P'!B62</f>
        <v>Num</v>
      </c>
      <c r="D62" s="17" t="str">
        <f t="shared" si="0"/>
        <v>FFFFFF</v>
      </c>
      <c r="E62" s="15" t="str">
        <f t="shared" si="1"/>
        <v>Num</v>
      </c>
    </row>
    <row r="63" spans="2:5" ht="15" customHeight="1" x14ac:dyDescent="0.3">
      <c r="B63" s="45" t="s">
        <v>121</v>
      </c>
      <c r="C63" s="15" t="str">
        <f>'Filter C-P'!B63</f>
        <v>Wago</v>
      </c>
      <c r="D63" s="17" t="str">
        <f t="shared" si="0"/>
        <v>FFFFFF</v>
      </c>
      <c r="E63" s="15" t="str">
        <f t="shared" si="1"/>
        <v>Wag</v>
      </c>
    </row>
    <row r="64" spans="2:5" ht="15" customHeight="1" x14ac:dyDescent="0.3">
      <c r="B64" s="45" t="s">
        <v>121</v>
      </c>
      <c r="C64" s="15" t="str">
        <f>'Filter C-P'!B64</f>
        <v>Thermo Scientific</v>
      </c>
      <c r="D64" s="17" t="str">
        <f t="shared" si="0"/>
        <v>FFFFFF</v>
      </c>
      <c r="E64" s="15" t="str">
        <f t="shared" si="1"/>
        <v>The</v>
      </c>
    </row>
    <row r="65" spans="2:5" ht="15" customHeight="1" x14ac:dyDescent="0.3">
      <c r="B65" s="45" t="s">
        <v>121</v>
      </c>
      <c r="C65" s="15" t="str">
        <f>'Filter C-P'!B65</f>
        <v>Sanyo Denki</v>
      </c>
      <c r="D65" s="17" t="str">
        <f t="shared" si="0"/>
        <v>FFFFFF</v>
      </c>
      <c r="E65" s="15" t="str">
        <f t="shared" si="1"/>
        <v>San</v>
      </c>
    </row>
    <row r="66" spans="2:5" ht="15" customHeight="1" x14ac:dyDescent="0.3">
      <c r="B66" s="45" t="s">
        <v>121</v>
      </c>
      <c r="C66" s="15" t="str">
        <f>'Filter C-P'!B66</f>
        <v>Banner</v>
      </c>
      <c r="D66" s="17" t="str">
        <f t="shared" si="0"/>
        <v>FFFFFF</v>
      </c>
      <c r="E66" s="15" t="str">
        <f t="shared" si="1"/>
        <v>Ban</v>
      </c>
    </row>
    <row r="67" spans="2:5" ht="15" customHeight="1" x14ac:dyDescent="0.3">
      <c r="B67" s="45" t="s">
        <v>121</v>
      </c>
      <c r="C67" s="15" t="str">
        <f>'Filter C-P'!B67</f>
        <v>NEC</v>
      </c>
      <c r="D67" s="17" t="str">
        <f t="shared" si="0"/>
        <v>FFFFFF</v>
      </c>
      <c r="E67" s="15" t="str">
        <f t="shared" si="1"/>
        <v>NEC</v>
      </c>
    </row>
    <row r="68" spans="2:5" ht="15" customHeight="1" x14ac:dyDescent="0.3">
      <c r="B68" s="45" t="s">
        <v>121</v>
      </c>
      <c r="C68" s="15" t="str">
        <f>'Filter C-P'!B68</f>
        <v>Beijer Electronics</v>
      </c>
      <c r="D68" s="17" t="str">
        <f t="shared" si="0"/>
        <v>FFFFFF</v>
      </c>
      <c r="E68" s="15" t="str">
        <f t="shared" si="1"/>
        <v>Bei</v>
      </c>
    </row>
    <row r="69" spans="2:5" ht="15" customHeight="1" x14ac:dyDescent="0.3">
      <c r="B69" s="45" t="s">
        <v>121</v>
      </c>
      <c r="C69" s="15" t="str">
        <f>'Filter C-P'!B69</f>
        <v>Honeywell</v>
      </c>
      <c r="D69" s="17" t="str">
        <f t="shared" si="0"/>
        <v>FFFFFF</v>
      </c>
      <c r="E69" s="15" t="str">
        <f t="shared" si="1"/>
        <v>Hon</v>
      </c>
    </row>
    <row r="70" spans="2:5" ht="15" customHeight="1" x14ac:dyDescent="0.3">
      <c r="B70" s="45" t="s">
        <v>121</v>
      </c>
      <c r="C70" s="15" t="str">
        <f>'Filter C-P'!B70</f>
        <v>CCI</v>
      </c>
      <c r="D70" s="17" t="str">
        <f t="shared" ref="D70:D103" si="4">getRGB1(B70)</f>
        <v>FFFFFF</v>
      </c>
      <c r="E70" s="15" t="str">
        <f t="shared" ref="E70:E103" si="5">LEFT(C70,3)</f>
        <v>CCI</v>
      </c>
    </row>
    <row r="71" spans="2:5" ht="15" customHeight="1" x14ac:dyDescent="0.3">
      <c r="B71" s="45" t="s">
        <v>121</v>
      </c>
      <c r="C71" s="15" t="str">
        <f>'Filter C-P'!B71</f>
        <v>GE</v>
      </c>
      <c r="D71" s="17" t="str">
        <f t="shared" si="4"/>
        <v>FFFFFF</v>
      </c>
      <c r="E71" s="15" t="str">
        <f t="shared" si="5"/>
        <v>GE</v>
      </c>
    </row>
    <row r="72" spans="2:5" ht="15" customHeight="1" x14ac:dyDescent="0.3">
      <c r="B72" s="45" t="s">
        <v>121</v>
      </c>
      <c r="C72" s="15" t="str">
        <f>'Filter C-P'!B72</f>
        <v>Fagor Automation</v>
      </c>
      <c r="D72" s="17" t="str">
        <f t="shared" si="4"/>
        <v>FFFFFF</v>
      </c>
      <c r="E72" s="15" t="str">
        <f t="shared" si="5"/>
        <v>Fag</v>
      </c>
    </row>
    <row r="73" spans="2:5" ht="15" customHeight="1" x14ac:dyDescent="0.3">
      <c r="B73" s="45" t="s">
        <v>121</v>
      </c>
      <c r="C73" s="15" t="str">
        <f>'Filter C-P'!B73</f>
        <v>PR Electronics</v>
      </c>
      <c r="D73" s="17" t="str">
        <f t="shared" si="4"/>
        <v>FFFFFF</v>
      </c>
      <c r="E73" s="15" t="str">
        <f t="shared" si="5"/>
        <v xml:space="preserve">PR </v>
      </c>
    </row>
    <row r="74" spans="2:5" ht="15" customHeight="1" x14ac:dyDescent="0.3">
      <c r="B74" s="45" t="s">
        <v>121</v>
      </c>
      <c r="C74" s="15" t="str">
        <f>'Filter C-P'!B74</f>
        <v>Weidmuller</v>
      </c>
      <c r="D74" s="17" t="str">
        <f t="shared" si="4"/>
        <v>FFFFFF</v>
      </c>
      <c r="E74" s="15" t="str">
        <f t="shared" si="5"/>
        <v>Wei</v>
      </c>
    </row>
    <row r="75" spans="2:5" ht="15" customHeight="1" x14ac:dyDescent="0.3">
      <c r="B75" s="45" t="s">
        <v>121</v>
      </c>
      <c r="C75" s="15" t="str">
        <f>'Filter C-P'!B75</f>
        <v>Samson</v>
      </c>
      <c r="D75" s="17" t="str">
        <f t="shared" si="4"/>
        <v>FFFFFF</v>
      </c>
      <c r="E75" s="15" t="str">
        <f t="shared" si="5"/>
        <v>Sam</v>
      </c>
    </row>
    <row r="76" spans="2:5" ht="15" customHeight="1" x14ac:dyDescent="0.3">
      <c r="B76" s="45" t="s">
        <v>121</v>
      </c>
      <c r="C76" s="15" t="str">
        <f>'Filter C-P'!B76</f>
        <v>Eaton</v>
      </c>
      <c r="D76" s="17" t="str">
        <f t="shared" si="4"/>
        <v>FFFFFF</v>
      </c>
      <c r="E76" s="15" t="str">
        <f t="shared" si="5"/>
        <v>Eat</v>
      </c>
    </row>
    <row r="77" spans="2:5" ht="15" customHeight="1" x14ac:dyDescent="0.3">
      <c r="B77" s="45" t="s">
        <v>121</v>
      </c>
      <c r="C77" s="15" t="str">
        <f>'Filter C-P'!B77</f>
        <v>Teledyne</v>
      </c>
      <c r="D77" s="17" t="str">
        <f t="shared" si="4"/>
        <v>FFFFFF</v>
      </c>
      <c r="E77" s="15" t="str">
        <f t="shared" si="5"/>
        <v>Tel</v>
      </c>
    </row>
    <row r="78" spans="2:5" ht="15" customHeight="1" x14ac:dyDescent="0.3">
      <c r="B78" s="45" t="s">
        <v>121</v>
      </c>
      <c r="C78" s="15" t="str">
        <f>'Filter C-P'!B78</f>
        <v>Lti Drives</v>
      </c>
      <c r="D78" s="17" t="str">
        <f t="shared" si="4"/>
        <v>FFFFFF</v>
      </c>
      <c r="E78" s="15" t="str">
        <f t="shared" si="5"/>
        <v>Lti</v>
      </c>
    </row>
    <row r="79" spans="2:5" ht="15" customHeight="1" x14ac:dyDescent="0.3">
      <c r="B79" s="45" t="s">
        <v>121</v>
      </c>
      <c r="C79" s="15" t="str">
        <f>'Filter C-P'!B79</f>
        <v>Krohne</v>
      </c>
      <c r="D79" s="17" t="str">
        <f t="shared" si="4"/>
        <v>FFFFFF</v>
      </c>
      <c r="E79" s="15" t="str">
        <f t="shared" si="5"/>
        <v>Kro</v>
      </c>
    </row>
    <row r="80" spans="2:5" ht="15" customHeight="1" x14ac:dyDescent="0.3">
      <c r="B80" s="45" t="s">
        <v>121</v>
      </c>
      <c r="C80" s="15" t="str">
        <f>'Filter C-P'!B80</f>
        <v>Ametek</v>
      </c>
      <c r="D80" s="17" t="str">
        <f t="shared" si="4"/>
        <v>FFFFFF</v>
      </c>
      <c r="E80" s="15" t="str">
        <f t="shared" si="5"/>
        <v>Ame</v>
      </c>
    </row>
    <row r="81" spans="2:5" ht="15" customHeight="1" x14ac:dyDescent="0.3">
      <c r="B81" s="45" t="s">
        <v>121</v>
      </c>
      <c r="C81" s="15" t="str">
        <f>'Filter C-P'!B81</f>
        <v>Pilz</v>
      </c>
      <c r="D81" s="17" t="str">
        <f t="shared" si="4"/>
        <v>FFFFFF</v>
      </c>
      <c r="E81" s="15" t="str">
        <f t="shared" si="5"/>
        <v>Pil</v>
      </c>
    </row>
    <row r="82" spans="2:5" ht="15" customHeight="1" x14ac:dyDescent="0.3">
      <c r="B82" s="45" t="s">
        <v>121</v>
      </c>
      <c r="C82" s="15" t="str">
        <f>'Filter C-P'!B82</f>
        <v>Panasonic</v>
      </c>
      <c r="D82" s="17" t="str">
        <f t="shared" si="4"/>
        <v>FFFFFF</v>
      </c>
      <c r="E82" s="15" t="str">
        <f t="shared" si="5"/>
        <v>Pan</v>
      </c>
    </row>
    <row r="83" spans="2:5" ht="15" customHeight="1" x14ac:dyDescent="0.3">
      <c r="B83" s="45" t="s">
        <v>121</v>
      </c>
      <c r="C83" s="15" t="str">
        <f>'Filter C-P'!B83</f>
        <v>Comeca</v>
      </c>
      <c r="D83" s="17" t="str">
        <f t="shared" si="4"/>
        <v>FFFFFF</v>
      </c>
      <c r="E83" s="15" t="str">
        <f t="shared" si="5"/>
        <v>Com</v>
      </c>
    </row>
    <row r="84" spans="2:5" ht="15" customHeight="1" x14ac:dyDescent="0.3">
      <c r="B84" s="45" t="s">
        <v>121</v>
      </c>
      <c r="C84" s="15" t="str">
        <f>'Filter C-P'!B84</f>
        <v>TMEIC</v>
      </c>
      <c r="D84" s="17" t="str">
        <f t="shared" si="4"/>
        <v>FFFFFF</v>
      </c>
      <c r="E84" s="15" t="str">
        <f t="shared" si="5"/>
        <v>TME</v>
      </c>
    </row>
    <row r="85" spans="2:5" ht="15" customHeight="1" x14ac:dyDescent="0.3">
      <c r="B85" s="45" t="s">
        <v>121</v>
      </c>
      <c r="C85" s="15" t="str">
        <f>'Filter C-P'!B85</f>
        <v>Halma</v>
      </c>
      <c r="D85" s="17" t="str">
        <f t="shared" si="4"/>
        <v>FFFFFF</v>
      </c>
      <c r="E85" s="15" t="str">
        <f t="shared" si="5"/>
        <v>Hal</v>
      </c>
    </row>
    <row r="86" spans="2:5" ht="15" customHeight="1" x14ac:dyDescent="0.3">
      <c r="B86" s="45" t="s">
        <v>121</v>
      </c>
      <c r="C86" s="15" t="str">
        <f>'Filter C-P'!B86</f>
        <v>Flowserve Flow Control Division</v>
      </c>
      <c r="D86" s="17" t="str">
        <f t="shared" si="4"/>
        <v>FFFFFF</v>
      </c>
      <c r="E86" s="15" t="str">
        <f t="shared" si="5"/>
        <v>Flo</v>
      </c>
    </row>
    <row r="87" spans="2:5" ht="15" customHeight="1" x14ac:dyDescent="0.3">
      <c r="B87" s="45" t="s">
        <v>121</v>
      </c>
      <c r="C87" s="15" t="str">
        <f>'Filter C-P'!B87</f>
        <v>B&amp;R</v>
      </c>
      <c r="D87" s="17" t="str">
        <f t="shared" si="4"/>
        <v>FFFFFF</v>
      </c>
      <c r="E87" s="15" t="str">
        <f t="shared" si="5"/>
        <v>B&amp;R</v>
      </c>
    </row>
    <row r="88" spans="2:5" ht="15" customHeight="1" x14ac:dyDescent="0.3">
      <c r="B88" s="45" t="s">
        <v>121</v>
      </c>
      <c r="C88" s="15" t="str">
        <f>'Filter C-P'!B88</f>
        <v>EVOC Group</v>
      </c>
      <c r="D88" s="17" t="str">
        <f t="shared" si="4"/>
        <v>FFFFFF</v>
      </c>
      <c r="E88" s="15" t="str">
        <f t="shared" si="5"/>
        <v>EVO</v>
      </c>
    </row>
    <row r="89" spans="2:5" ht="15" customHeight="1" x14ac:dyDescent="0.3">
      <c r="B89" s="45" t="s">
        <v>121</v>
      </c>
      <c r="C89" s="15" t="str">
        <f>'Filter C-P'!B89</f>
        <v>Contrinex</v>
      </c>
      <c r="D89" s="17" t="str">
        <f t="shared" si="4"/>
        <v>FFFFFF</v>
      </c>
      <c r="E89" s="15" t="str">
        <f t="shared" si="5"/>
        <v>Con</v>
      </c>
    </row>
    <row r="90" spans="2:5" ht="15" customHeight="1" x14ac:dyDescent="0.3">
      <c r="B90" s="45" t="s">
        <v>121</v>
      </c>
      <c r="C90" s="15" t="str">
        <f>'Filter C-P'!B90</f>
        <v>Mettler-Toledo</v>
      </c>
      <c r="D90" s="17" t="str">
        <f t="shared" si="4"/>
        <v>FFFFFF</v>
      </c>
      <c r="E90" s="15" t="str">
        <f t="shared" si="5"/>
        <v>Met</v>
      </c>
    </row>
    <row r="91" spans="2:5" ht="15" customHeight="1" x14ac:dyDescent="0.3">
      <c r="B91" s="45" t="s">
        <v>121</v>
      </c>
      <c r="C91" s="15" t="str">
        <f>'Filter C-P'!B91</f>
        <v>Azbil</v>
      </c>
      <c r="D91" s="17" t="str">
        <f t="shared" si="4"/>
        <v>FFFFFF</v>
      </c>
      <c r="E91" s="15" t="str">
        <f t="shared" si="5"/>
        <v>Azb</v>
      </c>
    </row>
    <row r="92" spans="2:5" ht="15" customHeight="1" x14ac:dyDescent="0.3">
      <c r="B92" s="45" t="s">
        <v>121</v>
      </c>
      <c r="C92" s="15" t="str">
        <f>'Filter C-P'!B92</f>
        <v>FANUC</v>
      </c>
      <c r="D92" s="17" t="str">
        <f t="shared" si="4"/>
        <v>FFFFFF</v>
      </c>
      <c r="E92" s="15" t="str">
        <f t="shared" si="5"/>
        <v>FAN</v>
      </c>
    </row>
    <row r="93" spans="2:5" ht="15" customHeight="1" x14ac:dyDescent="0.3">
      <c r="B93" s="45" t="s">
        <v>121</v>
      </c>
      <c r="C93" s="15" t="str">
        <f>'Filter C-P'!B93</f>
        <v>Bosch Rexroth</v>
      </c>
      <c r="D93" s="17" t="str">
        <f t="shared" si="4"/>
        <v>FFFFFF</v>
      </c>
      <c r="E93" s="15" t="str">
        <f t="shared" si="5"/>
        <v>Bos</v>
      </c>
    </row>
    <row r="94" spans="2:5" ht="15" customHeight="1" x14ac:dyDescent="0.3">
      <c r="B94" s="45" t="s">
        <v>121</v>
      </c>
      <c r="C94" s="15" t="str">
        <f>'Filter C-P'!B94</f>
        <v>Danaher Industrial</v>
      </c>
      <c r="D94" s="17" t="str">
        <f t="shared" si="4"/>
        <v>FFFFFF</v>
      </c>
      <c r="E94" s="15" t="str">
        <f t="shared" si="5"/>
        <v>Dan</v>
      </c>
    </row>
    <row r="95" spans="2:5" ht="15" customHeight="1" x14ac:dyDescent="0.3">
      <c r="B95" s="45" t="s">
        <v>121</v>
      </c>
      <c r="C95" s="15" t="str">
        <f>'Filter C-P'!B95</f>
        <v>Schmersal</v>
      </c>
      <c r="D95" s="17" t="str">
        <f t="shared" si="4"/>
        <v>FFFFFF</v>
      </c>
      <c r="E95" s="15" t="str">
        <f t="shared" si="5"/>
        <v>Sch</v>
      </c>
    </row>
    <row r="96" spans="2:5" ht="15" customHeight="1" x14ac:dyDescent="0.3">
      <c r="B96" s="45" t="s">
        <v>121</v>
      </c>
      <c r="C96" s="15" t="str">
        <f>'Filter C-P'!B96</f>
        <v>Okuma</v>
      </c>
      <c r="D96" s="17" t="str">
        <f t="shared" si="4"/>
        <v>FFFFFF</v>
      </c>
      <c r="E96" s="15" t="str">
        <f t="shared" si="5"/>
        <v>Oku</v>
      </c>
    </row>
    <row r="97" spans="2:5" ht="15" customHeight="1" x14ac:dyDescent="0.3">
      <c r="B97" s="45" t="s">
        <v>121</v>
      </c>
      <c r="C97" s="15" t="str">
        <f>'Filter C-P'!B97</f>
        <v>Balluff</v>
      </c>
      <c r="D97" s="17" t="str">
        <f t="shared" si="4"/>
        <v>FFFFFF</v>
      </c>
      <c r="E97" s="15" t="str">
        <f t="shared" si="5"/>
        <v>Bal</v>
      </c>
    </row>
    <row r="98" spans="2:5" ht="15" customHeight="1" x14ac:dyDescent="0.3">
      <c r="B98" s="45" t="s">
        <v>121</v>
      </c>
      <c r="C98" s="15" t="str">
        <f>'Filter C-P'!B98</f>
        <v>Chint Electrics</v>
      </c>
      <c r="D98" s="17" t="str">
        <f t="shared" si="4"/>
        <v>FFFFFF</v>
      </c>
      <c r="E98" s="15" t="str">
        <f t="shared" si="5"/>
        <v>Chi</v>
      </c>
    </row>
    <row r="99" spans="2:5" ht="15" customHeight="1" x14ac:dyDescent="0.3">
      <c r="B99" s="45" t="s">
        <v>121</v>
      </c>
      <c r="C99" s="15" t="str">
        <f>'Filter C-P'!B99</f>
        <v>Toshiba</v>
      </c>
      <c r="D99" s="17" t="str">
        <f t="shared" si="4"/>
        <v>FFFFFF</v>
      </c>
      <c r="E99" s="15" t="str">
        <f t="shared" si="5"/>
        <v>Tos</v>
      </c>
    </row>
    <row r="100" spans="2:5" ht="15" customHeight="1" x14ac:dyDescent="0.3">
      <c r="B100" s="45" t="s">
        <v>121</v>
      </c>
      <c r="C100" s="15" t="str">
        <f>'Filter C-P'!B100</f>
        <v>Sick</v>
      </c>
      <c r="D100" s="17" t="str">
        <f t="shared" si="4"/>
        <v>FFFFFF</v>
      </c>
      <c r="E100" s="15" t="str">
        <f t="shared" si="5"/>
        <v>Sic</v>
      </c>
    </row>
    <row r="101" spans="2:5" ht="15" customHeight="1" x14ac:dyDescent="0.3">
      <c r="B101" s="45" t="s">
        <v>121</v>
      </c>
      <c r="C101" s="15" t="str">
        <f>'Filter C-P'!B101</f>
        <v>IFM Electronics</v>
      </c>
      <c r="D101" s="17" t="str">
        <f t="shared" si="4"/>
        <v>FFFFFF</v>
      </c>
      <c r="E101" s="15" t="str">
        <f t="shared" si="5"/>
        <v>IFM</v>
      </c>
    </row>
    <row r="102" spans="2:5" ht="15" customHeight="1" x14ac:dyDescent="0.3">
      <c r="B102" s="45" t="s">
        <v>121</v>
      </c>
      <c r="C102" s="15" t="str">
        <f>'Filter C-P'!B102</f>
        <v>Harting</v>
      </c>
      <c r="D102" s="17" t="str">
        <f t="shared" si="4"/>
        <v>FFFFFF</v>
      </c>
      <c r="E102" s="15" t="str">
        <f t="shared" si="5"/>
        <v>Har</v>
      </c>
    </row>
    <row r="103" spans="2:5" ht="15" customHeight="1" x14ac:dyDescent="0.3">
      <c r="B103" s="82" t="s">
        <v>121</v>
      </c>
      <c r="C103" s="15" t="str">
        <f>'Filter C-P'!B103</f>
        <v>Other</v>
      </c>
      <c r="D103" s="17" t="str">
        <f t="shared" si="4"/>
        <v>FFFFFF</v>
      </c>
      <c r="E103" s="15" t="str">
        <f t="shared" si="5"/>
        <v>Oth</v>
      </c>
    </row>
  </sheetData>
  <mergeCells count="1">
    <mergeCell ref="N4:S4"/>
  </mergeCells>
  <pageMargins left="0.19685039370078741" right="0.19685039370078741" top="0.39370078740157483" bottom="0.39370078740157483" header="0.19685039370078741" footer="0.19685039370078741"/>
  <pageSetup paperSize="9" fitToHeight="0" orientation="landscape" horizont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4512D5-80E4-4B25-B4D5-50D9A3526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Dashboard m</vt:lpstr>
      <vt:lpstr>Marimekko C-P</vt:lpstr>
      <vt:lpstr>Filter C-P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sesa33795</dc:creator>
  <cp:lastModifiedBy>sesa33795</cp:lastModifiedBy>
  <dcterms:created xsi:type="dcterms:W3CDTF">2017-02-08T06:57:30Z</dcterms:created>
  <dcterms:modified xsi:type="dcterms:W3CDTF">2017-02-25T19:58:04Z</dcterms:modified>
</cp:coreProperties>
</file>